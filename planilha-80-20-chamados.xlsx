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1. Temas" sheetId="2" state="visible" r:id="rId2"/>
    <sheet xmlns:r="http://schemas.openxmlformats.org/officeDocument/2006/relationships" name="2. Chamados" sheetId="3" state="visible" r:id="rId3"/>
    <sheet xmlns:r="http://schemas.openxmlformats.org/officeDocument/2006/relationships" name="3. Resultado" sheetId="4" state="visible" r:id="rId4"/>
  </sheets>
  <definedNames>
    <definedName name="_xlnm._FilterDatabase" localSheetId="2" hidden="1">'2. Chamados'!$B$7:$F$1007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34D3B4"/>
      <sz val="10"/>
    </font>
    <font>
      <name val="Arial"/>
      <b val="1"/>
      <color rgb="00FFFFFF"/>
      <sz val="9"/>
      <u val="single"/>
    </font>
    <font>
      <name val="Arial"/>
      <b val="1"/>
      <color rgb="000E1B33"/>
      <sz val="14"/>
    </font>
    <font>
      <name val="Arial"/>
      <b val="1"/>
      <color rgb="000E1B33"/>
      <sz val="16"/>
    </font>
    <font>
      <name val="Arial"/>
      <b val="1"/>
      <color rgb="000E1B33"/>
      <sz val="12"/>
    </font>
    <font>
      <name val="Arial"/>
      <color rgb="001F2A3D"/>
      <sz val="10"/>
    </font>
    <font>
      <name val="Arial"/>
      <b val="1"/>
      <color rgb="001C8F78"/>
      <sz val="10"/>
      <u val="single"/>
    </font>
    <font>
      <name val="Arial"/>
      <color rgb="001F2A3D"/>
      <sz val="14"/>
    </font>
    <font>
      <name val="Arial"/>
      <b val="1"/>
      <color rgb="000E1B33"/>
      <sz val="11"/>
    </font>
    <font>
      <name val="Arial"/>
      <i val="1"/>
      <color rgb="006B7A90"/>
      <sz val="9"/>
    </font>
    <font>
      <name val="Arial"/>
      <b val="1"/>
      <color rgb="001C8F78"/>
      <sz val="12"/>
    </font>
    <font>
      <name val="Arial"/>
      <b val="1"/>
      <color rgb="001C8F78"/>
      <sz val="9"/>
      <u val="single"/>
    </font>
    <font>
      <name val="Arial"/>
      <color rgb="00A9B8CF"/>
      <sz val="9"/>
    </font>
    <font>
      <name val="Arial"/>
      <b val="1"/>
      <color rgb="00FFFFFF"/>
      <sz val="10"/>
    </font>
    <font>
      <name val="Arial"/>
      <color rgb="006B7A90"/>
      <sz val="9"/>
    </font>
    <font>
      <name val="Arial"/>
      <b val="1"/>
      <color rgb="001F2A3D"/>
      <sz val="10"/>
    </font>
    <font>
      <name val="Arial"/>
      <b val="1"/>
      <color rgb="000E1B33"/>
      <sz val="10"/>
    </font>
    <font>
      <name val="Arial"/>
      <i val="1"/>
      <color rgb="006B7A90"/>
      <sz val="8"/>
    </font>
    <font>
      <name val="Arial"/>
      <color rgb="001F2A3D"/>
      <sz val="9"/>
    </font>
    <font>
      <name val="Arial"/>
      <b val="1"/>
      <color rgb="006B7A90"/>
      <sz val="9"/>
    </font>
    <font>
      <name val="Arial"/>
      <b val="1"/>
      <color rgb="000E1B33"/>
      <sz val="24"/>
    </font>
    <font>
      <name val="Arial"/>
      <b val="1"/>
      <color rgb="001C8F78"/>
      <sz val="24"/>
    </font>
    <font>
      <name val="Arial"/>
      <b val="1"/>
      <color rgb="000F5E4E"/>
      <sz val="12"/>
    </font>
    <font>
      <name val="Arial"/>
      <b val="1"/>
      <color rgb="00B45309"/>
      <sz val="10"/>
    </font>
  </fonts>
  <fills count="11">
    <fill>
      <patternFill/>
    </fill>
    <fill>
      <patternFill patternType="gray125"/>
    </fill>
    <fill>
      <patternFill patternType="solid">
        <fgColor rgb="000E1B33"/>
      </patternFill>
    </fill>
    <fill>
      <patternFill patternType="solid">
        <fgColor rgb="0034D3B4"/>
      </patternFill>
    </fill>
    <fill>
      <patternFill patternType="solid">
        <fgColor rgb="00FDECEC"/>
      </patternFill>
    </fill>
    <fill>
      <patternFill patternType="solid">
        <fgColor rgb="00FFF6DC"/>
      </patternFill>
    </fill>
    <fill>
      <patternFill patternType="solid">
        <fgColor rgb="00E6F7F1"/>
      </patternFill>
    </fill>
    <fill>
      <patternFill patternType="solid">
        <fgColor rgb="00FFF8E1"/>
      </patternFill>
    </fill>
    <fill>
      <patternFill patternType="solid">
        <fgColor rgb="001F4E6E"/>
      </patternFill>
    </fill>
    <fill>
      <patternFill patternType="solid">
        <fgColor rgb="00F4F7FA"/>
      </patternFill>
    </fill>
    <fill>
      <patternFill patternType="solid">
        <fgColor rgb="00E3FAF5"/>
      </patternFill>
    </fill>
  </fills>
  <borders count="7">
    <border>
      <left/>
      <right/>
      <top/>
      <bottom/>
      <diagonal/>
    </border>
    <border>
      <top style="thin">
        <color rgb="00F2C14E"/>
      </top>
      <bottom style="thin">
        <color rgb="00F2C14E"/>
      </bottom>
    </border>
    <border>
      <left style="thin">
        <color rgb="00F2C14E"/>
      </left>
      <top style="thin">
        <color rgb="00F2C14E"/>
      </top>
      <bottom style="thin">
        <color rgb="00F2C14E"/>
      </bottom>
    </border>
    <border>
      <right style="thin">
        <color rgb="00F2C14E"/>
      </right>
      <top style="thin">
        <color rgb="00F2C14E"/>
      </top>
      <bottom style="thin">
        <color rgb="00F2C14E"/>
      </bottom>
    </border>
    <border>
      <bottom style="thin">
        <color rgb="00D5DDE5"/>
      </bottom>
    </border>
    <border>
      <left style="thin">
        <color rgb="00F2C14E"/>
      </left>
      <right style="thin">
        <color rgb="00F2C14E"/>
      </right>
      <top style="thin">
        <color rgb="00F2C14E"/>
      </top>
      <bottom style="thin">
        <color rgb="00F2C14E"/>
      </bottom>
    </border>
    <border>
      <top style="medium">
        <color rgb="0034D3B4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vertical="top"/>
    </xf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indent="1"/>
    </xf>
    <xf numFmtId="0" fontId="0" fillId="4" borderId="0" pivotButton="0" quotePrefix="0" xfId="0"/>
    <xf numFmtId="0" fontId="9" fillId="5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indent="1"/>
    </xf>
    <xf numFmtId="0" fontId="0" fillId="5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vertical="center" indent="1"/>
    </xf>
    <xf numFmtId="0" fontId="7" fillId="6" borderId="0" applyAlignment="1" pivotButton="0" quotePrefix="0" xfId="0">
      <alignment vertical="center" indent="1"/>
    </xf>
    <xf numFmtId="0" fontId="0" fillId="6" borderId="0" pivotButton="0" quotePrefix="0" xfId="0"/>
    <xf numFmtId="0" fontId="11" fillId="0" borderId="0" pivotButton="0" quotePrefix="0" xfId="0"/>
    <xf numFmtId="0" fontId="7" fillId="7" borderId="2" applyAlignment="1" pivotButton="0" quotePrefix="0" xfId="0">
      <alignment vertical="center" wrapText="1" indent="1"/>
    </xf>
    <xf numFmtId="0" fontId="0" fillId="7" borderId="1" pivotButton="0" quotePrefix="0" xfId="0"/>
    <xf numFmtId="0" fontId="0" fillId="7" borderId="3" pivotButton="0" quotePrefix="0" xfId="0"/>
    <xf numFmtId="0" fontId="12" fillId="0" borderId="0" applyAlignment="1" pivotButton="0" quotePrefix="0" xfId="0">
      <alignment horizontal="right" vertical="top"/>
    </xf>
    <xf numFmtId="0" fontId="13" fillId="0" borderId="0" pivotButton="0" quotePrefix="0" xfId="0"/>
    <xf numFmtId="0" fontId="14" fillId="2" borderId="0" applyAlignment="1" pivotButton="0" quotePrefix="0" xfId="0">
      <alignment horizontal="right" vertical="top"/>
    </xf>
    <xf numFmtId="0" fontId="15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6" fillId="0" borderId="4" applyAlignment="1" pivotButton="0" quotePrefix="0" xfId="0">
      <alignment horizontal="center" vertical="center" wrapText="1"/>
    </xf>
    <xf numFmtId="0" fontId="7" fillId="7" borderId="5" applyAlignment="1" applyProtection="1" pivotButton="0" quotePrefix="0" xfId="0">
      <alignment vertical="center" indent="1"/>
      <protection locked="0" hidden="0"/>
    </xf>
    <xf numFmtId="0" fontId="17" fillId="0" borderId="4" applyAlignment="1" pivotButton="0" quotePrefix="0" xfId="0">
      <alignment horizontal="center" vertical="center" wrapText="1"/>
    </xf>
    <xf numFmtId="9" fontId="7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vertical="center" indent="1"/>
    </xf>
    <xf numFmtId="9" fontId="17" fillId="7" borderId="5" applyAlignment="1" applyProtection="1" pivotButton="0" quotePrefix="0" xfId="0">
      <alignment horizontal="center" vertical="center" wrapText="1"/>
      <protection locked="0" hidden="0"/>
    </xf>
    <xf numFmtId="0" fontId="19" fillId="0" borderId="0" pivotButton="0" quotePrefix="0" xfId="0"/>
    <xf numFmtId="0" fontId="1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" vertical="center" wrapText="1"/>
    </xf>
    <xf numFmtId="0" fontId="7" fillId="7" borderId="5" applyAlignment="1" pivotButton="0" quotePrefix="0" xfId="0">
      <alignment horizontal="center" vertical="center"/>
    </xf>
    <xf numFmtId="165" fontId="7" fillId="7" borderId="5" applyAlignment="1" pivotButton="0" quotePrefix="0" xfId="0">
      <alignment horizontal="center" vertical="center"/>
    </xf>
    <xf numFmtId="0" fontId="7" fillId="7" borderId="5" applyAlignment="1" pivotButton="0" quotePrefix="0" xfId="0">
      <alignment vertical="center" indent="1"/>
    </xf>
    <xf numFmtId="0" fontId="20" fillId="0" borderId="0" applyAlignment="1" pivotButton="0" quotePrefix="0" xfId="0">
      <alignment horizontal="center" vertical="center" wrapText="1"/>
    </xf>
    <xf numFmtId="0" fontId="21" fillId="9" borderId="6" applyAlignment="1" pivotButton="0" quotePrefix="0" xfId="0">
      <alignment horizontal="center" vertical="bottom"/>
    </xf>
    <xf numFmtId="0" fontId="0" fillId="9" borderId="6" pivotButton="0" quotePrefix="0" xfId="0"/>
    <xf numFmtId="1" fontId="22" fillId="9" borderId="0" applyAlignment="1" pivotButton="0" quotePrefix="0" xfId="0">
      <alignment horizontal="center" vertical="center"/>
    </xf>
    <xf numFmtId="0" fontId="0" fillId="9" borderId="0" pivotButton="0" quotePrefix="0" xfId="0"/>
    <xf numFmtId="9" fontId="23" fillId="9" borderId="0" applyAlignment="1" pivotButton="0" quotePrefix="0" xfId="0">
      <alignment horizontal="center" vertical="center"/>
    </xf>
    <xf numFmtId="0" fontId="24" fillId="10" borderId="0" applyAlignment="1" pivotButton="0" quotePrefix="0" xfId="0">
      <alignment vertical="center" wrapText="1" indent="1"/>
    </xf>
    <xf numFmtId="0" fontId="0" fillId="10" borderId="0" pivotButton="0" quotePrefix="0" xfId="0"/>
    <xf numFmtId="0" fontId="25" fillId="0" borderId="0" applyAlignment="1" pivotButton="0" quotePrefix="0" xfId="0">
      <alignment vertical="center" indent="1"/>
    </xf>
    <xf numFmtId="0" fontId="6" fillId="0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indent="1"/>
    </xf>
    <xf numFmtId="0" fontId="7" fillId="0" borderId="0" applyAlignment="1" pivotButton="0" quotePrefix="0" xfId="0">
      <alignment horizontal="center" vertical="center" wrapText="1"/>
    </xf>
    <xf numFmtId="166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indent="1"/>
    </xf>
  </cellXfs>
  <cellStyles count="1">
    <cellStyle name="Normal" xfId="0" builtinId="0" hidden="0"/>
  </cellStyles>
  <dxfs count="6">
    <dxf>
      <font>
        <name val="Arial"/>
        <b val="1"/>
        <color rgb="009B1C1C"/>
      </font>
      <fill>
        <patternFill patternType="solid">
          <fgColor rgb="00F8C9C9"/>
        </patternFill>
      </fill>
    </dxf>
    <dxf>
      <font>
        <name val="Arial"/>
        <b val="1"/>
        <color rgb="00B45309"/>
      </font>
    </dxf>
    <dxf>
      <font>
        <name val="Arial"/>
        <color rgb="001C8F78"/>
      </font>
    </dxf>
    <dxf>
      <fill>
        <patternFill patternType="solid">
          <fgColor rgb="00FDECEC"/>
        </patternFill>
      </fill>
      <border>
        <bottom style="thin">
          <color rgb="00D5DDE5"/>
        </bottom>
      </border>
    </dxf>
    <dxf>
      <fill>
        <patternFill patternType="solid">
          <fgColor rgb="00FFF6DC"/>
        </patternFill>
      </fill>
      <border>
        <bottom style="thin">
          <color rgb="00D5DDE5"/>
        </bottom>
      </border>
    </dxf>
    <dxf>
      <fill>
        <patternFill patternType="solid">
          <fgColor rgb="00E6F7F1"/>
        </patternFill>
      </fill>
      <border>
        <bottom style="thin">
          <color rgb="00D5DDE5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Pareto: os 10 maiores temas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Resultado'!$W$13</f>
            </strRef>
          </tx>
          <spPr>
            <a:solidFill xmlns:a="http://schemas.openxmlformats.org/drawingml/2006/main">
              <a:srgbClr val="0E1B33"/>
            </a:solidFill>
            <a:ln xmlns:a="http://schemas.openxmlformats.org/drawingml/2006/main">
              <a:solidFill>
                <a:srgbClr val="0E1B33"/>
              </a:solidFill>
              <a:prstDash val="solid"/>
            </a:ln>
          </spPr>
          <cat>
            <strRef>
              <f>'3. Resultado'!$V$14:$V$23</f>
            </strRef>
          </cat>
          <val>
            <numRef>
              <f>'3. Resultado'!$W$14:$W$23</f>
            </numRef>
          </val>
        </ser>
        <ser>
          <idx val="1"/>
          <order val="1"/>
          <tx>
            <strRef>
              <f>'3. Resultado'!$X$13</f>
            </strRef>
          </tx>
          <spPr>
            <a:solidFill xmlns:a="http://schemas.openxmlformats.org/drawingml/2006/main">
              <a:srgbClr val="B9C3CD"/>
            </a:solidFill>
            <a:ln xmlns:a="http://schemas.openxmlformats.org/drawingml/2006/main">
              <a:solidFill>
                <a:srgbClr val="B9C3CD"/>
              </a:solidFill>
              <a:prstDash val="solid"/>
            </a:ln>
          </spPr>
          <cat>
            <strRef>
              <f>'3. Resultado'!$V$14:$V$23</f>
            </strRef>
          </cat>
          <val>
            <numRef>
              <f>'3. Resultado'!$X$14:$X$23</f>
            </numRef>
          </val>
        </ser>
        <gapWidth val="45"/>
        <overlap val="100"/>
        <axId val="10"/>
        <axId val="100"/>
      </barChart>
      <lineChart>
        <grouping val="standard"/>
        <ser>
          <idx val="2"/>
          <order val="2"/>
          <tx>
            <strRef>
              <f>'3. Resultado'!$Y$13</f>
            </strRef>
          </tx>
          <spPr>
            <a:ln xmlns:a="http://schemas.openxmlformats.org/drawingml/2006/main" w="28000">
              <a:solidFill>
                <a:srgbClr val="1C8F78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C8F78"/>
              </a:solidFill>
              <a:ln xmlns:a="http://schemas.openxmlformats.org/drawingml/2006/main">
                <a:solidFill>
                  <a:srgbClr val="1C8F78"/>
                </a:solidFill>
                <a:prstDash val="solid"/>
              </a:ln>
            </spPr>
          </marker>
          <cat>
            <strRef>
              <f>'3. Resultado'!$V$14:$V$23</f>
            </strRef>
          </cat>
          <val>
            <numRef>
              <f>'3. Resultado'!$Y$14:$Y$23</f>
            </numRef>
          </val>
          <smooth val="0"/>
        </ser>
        <ser>
          <idx val="3"/>
          <order val="3"/>
          <tx>
            <strRef>
              <f>'3. Resultado'!$Z$13</f>
            </strRef>
          </tx>
          <spPr>
            <a:ln xmlns:a="http://schemas.openxmlformats.org/drawingml/2006/main" w="15000">
              <a:solidFill>
                <a:srgbClr val="E25C5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'3. Resultado'!$V$14:$V$23</f>
            </strRef>
          </cat>
          <val>
            <numRef>
              <f>'3. Resultado'!$Z$14:$Z$23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Chamados</a:t>
                </a:r>
              </a:p>
            </rich>
          </tx>
        </title>
        <numFmt formatCode="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756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llerkbarros.github.io/portfolio-profissional/" TargetMode="External" Id="rId1"/><Relationship Type="http://schemas.openxmlformats.org/officeDocument/2006/relationships/hyperlink" Target="#'1. Temas'!C8" TargetMode="External" Id="rId2"/><Relationship Type="http://schemas.openxmlformats.org/officeDocument/2006/relationships/hyperlink" Target="#'2. Chamados'!B8" TargetMode="External" Id="rId3"/><Relationship Type="http://schemas.openxmlformats.org/officeDocument/2006/relationships/hyperlink" Target="#'3. Resultado'!B5" TargetMode="External" Id="rId4"/><Relationship Type="http://schemas.openxmlformats.org/officeDocument/2006/relationships/hyperlink" Target="https://millerkbarros.github.io/portfolio-profissional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millerkbarros.github.io/portfolio-profissional/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illerkbarros.github.io/portfolio-profissional/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illerkbarros.github.io/portfolio-profissiona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rgb="0034D3B4"/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30" customWidth="1" min="3" max="3"/>
    <col width="3" customWidth="1" min="4" max="4"/>
    <col width="7" customWidth="1" min="5" max="5"/>
    <col width="30" customWidth="1" min="6" max="6"/>
    <col width="3" customWidth="1" min="7" max="7"/>
    <col width="7" customWidth="1" min="8" max="8"/>
    <col width="30" customWidth="1" min="9" max="9"/>
    <col width="3" customWidth="1" min="10" max="10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2" t="inlineStr">
        <is>
          <t>Planilha 80/20 da fila de chamados</t>
        </is>
      </c>
      <c r="C2" s="1" t="n"/>
      <c r="D2" s="1" t="n"/>
      <c r="E2" s="1" t="n"/>
      <c r="F2" s="1" t="n"/>
      <c r="G2" s="1" t="n"/>
      <c r="H2" s="3" t="inlineStr">
        <is>
          <t>Miller Barros · portfólio ↗</t>
        </is>
      </c>
      <c r="I2" s="1" t="n"/>
      <c r="J2" s="1" t="n"/>
    </row>
    <row r="3" ht="22" customHeight="1">
      <c r="A3" s="1" t="n"/>
      <c r="B3" s="4" t="inlineStr">
        <is>
          <t>Descubra quais poucos temas geram a maior parte dos chamados e por onde começar a correção.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4" customHeight="1"/>
    <row r="6">
      <c r="B6" s="5" t="inlineStr">
        <is>
          <t>Como usar em 3 passos</t>
        </is>
      </c>
    </row>
    <row r="8" ht="30" customHeight="1">
      <c r="B8" s="6" t="inlineStr">
        <is>
          <t>1</t>
        </is>
      </c>
      <c r="C8" s="7" t="inlineStr">
        <is>
          <t>Cadastre os temas</t>
        </is>
      </c>
      <c r="E8" s="6" t="inlineStr">
        <is>
          <t>2</t>
        </is>
      </c>
      <c r="F8" s="7" t="inlineStr">
        <is>
          <t>Registre os chamados</t>
        </is>
      </c>
      <c r="H8" s="6" t="inlineStr">
        <is>
          <t>3</t>
        </is>
      </c>
      <c r="I8" s="7" t="inlineStr">
        <is>
          <t>Veja o resultado</t>
        </is>
      </c>
    </row>
    <row r="9" ht="48" customHeight="1">
      <c r="C9" s="8" t="inlineStr">
        <is>
          <t>Na aba 1. Temas, escreva os temas dos seus chamados nas células amarelas. Até 30 temas.</t>
        </is>
      </c>
      <c r="F9" s="8" t="inlineStr">
        <is>
          <t>Na aba 2. Chamados, registre um chamado por linha e escolha o tema na lista.</t>
        </is>
      </c>
      <c r="I9" s="8" t="inlineStr">
        <is>
          <t>A aba 3. Resultado se monta sozinha: ranking, faixas de prioridade e gráfico de Pareto.</t>
        </is>
      </c>
    </row>
    <row r="10" ht="18" customHeight="1">
      <c r="C10" s="9" t="inlineStr">
        <is>
          <t>Ir para 1. Temas →</t>
        </is>
      </c>
      <c r="F10" s="9" t="inlineStr">
        <is>
          <t>Ir para 2. Chamados →</t>
        </is>
      </c>
      <c r="I10" s="9" t="inlineStr">
        <is>
          <t>Ir para 3. Resultado →</t>
        </is>
      </c>
    </row>
    <row r="13">
      <c r="B13" s="5" t="inlineStr">
        <is>
          <t>Como ler o resultado</t>
        </is>
      </c>
    </row>
    <row r="15" ht="30" customHeight="1">
      <c r="B15" s="10" t="inlineStr">
        <is>
          <t>🔴</t>
        </is>
      </c>
      <c r="C15" s="11" t="inlineStr">
        <is>
          <t>Prioridade</t>
        </is>
      </c>
      <c r="D15" s="12" t="inlineStr">
        <is>
          <t>Os poucos temas que somam até 80% da fila. É por eles que a correção começa.</t>
        </is>
      </c>
      <c r="E15" s="13" t="n"/>
      <c r="F15" s="13" t="n"/>
      <c r="G15" s="13" t="n"/>
      <c r="H15" s="13" t="n"/>
      <c r="I15" s="13" t="n"/>
    </row>
    <row r="16" ht="30" customHeight="1">
      <c r="B16" s="14" t="inlineStr">
        <is>
          <t>🟡</t>
        </is>
      </c>
      <c r="C16" s="15" t="inlineStr">
        <is>
          <t>Planejar</t>
        </is>
      </c>
      <c r="D16" s="16" t="inlineStr">
        <is>
          <t>Temas do meio, até 95% da fila. Entram no planejamento, sem urgência.</t>
        </is>
      </c>
      <c r="E16" s="17" t="n"/>
      <c r="F16" s="17" t="n"/>
      <c r="G16" s="17" t="n"/>
      <c r="H16" s="17" t="n"/>
      <c r="I16" s="17" t="n"/>
    </row>
    <row r="17" ht="30" customHeight="1">
      <c r="B17" s="18" t="inlineStr">
        <is>
          <t>🟢</t>
        </is>
      </c>
      <c r="C17" s="19" t="inlineStr">
        <is>
          <t>Atendimento normal</t>
        </is>
      </c>
      <c r="D17" s="20" t="inlineStr">
        <is>
          <t>O restante segue o fluxo de sempre.</t>
        </is>
      </c>
      <c r="E17" s="21" t="n"/>
      <c r="F17" s="21" t="n"/>
      <c r="G17" s="21" t="n"/>
      <c r="H17" s="21" t="n"/>
      <c r="I17" s="21" t="n"/>
    </row>
    <row r="18">
      <c r="B18" s="22" t="inlineStr">
        <is>
          <t>Os cortes de 80% e 95% podem ser ajustados na aba 1. Temas, no quadro Configuração.</t>
        </is>
      </c>
    </row>
    <row r="20">
      <c r="B20" s="5" t="inlineStr">
        <is>
          <t>Antes de usar com os seus dados</t>
        </is>
      </c>
    </row>
    <row r="22" ht="46" customHeight="1">
      <c r="B22" s="23" t="inlineStr">
        <is>
          <t>A planilha já vem com um cenário fictício preenchido (10 temas e 140 chamados) para você ver como funciona. Para usar com os seus dados, selecione as células amarelas das abas 1 e 2 e aperte Delete. As fórmulas continuam funcionando.</t>
        </is>
      </c>
      <c r="C22" s="24" t="n"/>
      <c r="D22" s="24" t="n"/>
      <c r="E22" s="24" t="n"/>
      <c r="F22" s="24" t="n"/>
      <c r="G22" s="24" t="n"/>
      <c r="H22" s="24" t="n"/>
      <c r="I22" s="25" t="n"/>
    </row>
    <row r="24">
      <c r="B24" s="5" t="inlineStr">
        <is>
          <t>Dicas</t>
        </is>
      </c>
    </row>
    <row r="26" ht="28" customHeight="1">
      <c r="B26" s="26" t="inlineStr">
        <is>
          <t>•</t>
        </is>
      </c>
      <c r="C26" s="8" t="inlineStr">
        <is>
          <t>Agrupe pela causa provável, não pelo texto do usuário: descrições diferentes muitas vezes escondem o mesmo problema.</t>
        </is>
      </c>
    </row>
    <row r="27" ht="28" customHeight="1">
      <c r="B27" s="26" t="inlineStr">
        <is>
          <t>•</t>
        </is>
      </c>
      <c r="C27" s="8" t="inlineStr">
        <is>
          <t>Use um período fechado, como o último mês, para comparar uma análise com a seguinte.</t>
        </is>
      </c>
    </row>
    <row r="28" ht="28" customHeight="1">
      <c r="B28" s="26" t="inlineStr">
        <is>
          <t>•</t>
        </is>
      </c>
      <c r="C28" s="8" t="inlineStr">
        <is>
          <t>Depois de corrigir os temas prioritários, repita a análise e veja se a fila realmente diminuiu.</t>
        </is>
      </c>
    </row>
    <row r="29" ht="28" customHeight="1">
      <c r="B29" s="26" t="inlineStr">
        <is>
          <t>•</t>
        </is>
      </c>
      <c r="C29" s="8" t="inlineStr">
        <is>
          <t>Células amarelas são para preencher. As demais são calculadas e ficam protegidas (sem senha) para não serem apagadas sem querer.</t>
        </is>
      </c>
    </row>
    <row r="31">
      <c r="B31" s="22" t="inlineStr">
        <is>
          <t>Criada por Miller Barros · Scrum Master, Líder de Projetos e Analista de Negócios · uso livre</t>
        </is>
      </c>
    </row>
    <row r="32">
      <c r="B32" s="27" t="inlineStr">
        <is>
          <t>https://millerkbarros.github.io/portfolio-profissional/</t>
        </is>
      </c>
    </row>
  </sheetData>
  <mergeCells count="8">
    <mergeCell ref="C28:I28"/>
    <mergeCell ref="C26:I26"/>
    <mergeCell ref="D17:I17"/>
    <mergeCell ref="B22:I22"/>
    <mergeCell ref="C29:I29"/>
    <mergeCell ref="D16:I16"/>
    <mergeCell ref="C27:I27"/>
    <mergeCell ref="D15:I15"/>
  </mergeCells>
  <hyperlinks>
    <hyperlink xmlns:r="http://schemas.openxmlformats.org/officeDocument/2006/relationships" ref="H2" r:id="rId1"/>
    <hyperlink xmlns:r="http://schemas.openxmlformats.org/officeDocument/2006/relationships" ref="C10" r:id="rId2"/>
    <hyperlink xmlns:r="http://schemas.openxmlformats.org/officeDocument/2006/relationships" ref="F10" r:id="rId3"/>
    <hyperlink xmlns:r="http://schemas.openxmlformats.org/officeDocument/2006/relationships" ref="I10" r:id="rId4"/>
    <hyperlink xmlns:r="http://schemas.openxmlformats.org/officeDocument/2006/relationships" ref="B32" r:id="rId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2C14E"/>
    <outlinePr summaryBelow="1" summaryRight="1"/>
    <pageSetUpPr fitToPage="1"/>
  </sheetPr>
  <dimension ref="A1:L4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46" customWidth="1" min="4" max="4"/>
    <col width="13" customWidth="1" min="5" max="5"/>
    <col width="12" customWidth="1" min="6" max="6"/>
    <col width="3" customWidth="1" min="7" max="7"/>
    <col width="3" customWidth="1" min="8" max="8"/>
    <col width="24" customWidth="1" min="9" max="9"/>
    <col width="10" customWidth="1" min="10" max="10"/>
    <col width="3" customWidth="1" min="11" max="11"/>
    <col hidden="1" width="13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0" customHeight="1">
      <c r="A2" s="1" t="n"/>
      <c r="B2" s="2" t="inlineStr">
        <is>
          <t>1. Temas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Miller Barros · portfólio ↗</t>
        </is>
      </c>
      <c r="K2" s="1" t="n"/>
    </row>
    <row r="3" ht="22" customHeight="1">
      <c r="A3" s="1" t="n"/>
      <c r="B3" s="4" t="inlineStr">
        <is>
          <t>Escreva os temas dos chamados nas células amarelas. A contagem é automática.</t>
        </is>
      </c>
      <c r="C3" s="1" t="n"/>
      <c r="D3" s="1" t="n"/>
      <c r="E3" s="1" t="n"/>
      <c r="F3" s="1" t="n"/>
      <c r="G3" s="1" t="n"/>
      <c r="H3" s="1" t="n"/>
      <c r="I3" s="1" t="n"/>
      <c r="J3" s="28" t="inlineStr">
        <is>
          <t>Passo 1 de 3</t>
        </is>
      </c>
      <c r="K3" s="1" t="n"/>
    </row>
    <row r="4" ht="14" customHeight="1"/>
    <row r="5">
      <c r="B5" s="22" t="inlineStr">
        <is>
          <t>Dica: use nomes curtos e pela causa provável (ex.: “Falha de acesso / senha”).</t>
        </is>
      </c>
    </row>
    <row r="7" ht="26" customHeight="1">
      <c r="B7" s="29" t="inlineStr">
        <is>
          <t>#</t>
        </is>
      </c>
      <c r="C7" s="29" t="inlineStr">
        <is>
          <t>Tema</t>
        </is>
      </c>
      <c r="D7" s="29" t="inlineStr">
        <is>
          <t>Como reconhecer (opcional)</t>
        </is>
      </c>
      <c r="E7" s="29" t="inlineStr">
        <is>
          <t>Chamados</t>
        </is>
      </c>
      <c r="F7" s="29" t="inlineStr">
        <is>
          <t>% da fila</t>
        </is>
      </c>
      <c r="I7" s="29" t="inlineStr">
        <is>
          <t>Configuração</t>
        </is>
      </c>
      <c r="J7" s="30" t="n"/>
    </row>
    <row r="8" ht="20" customHeight="1">
      <c r="B8" s="31" t="n">
        <v>1</v>
      </c>
      <c r="C8" s="32" t="inlineStr">
        <is>
          <t>Falha de acesso / senha</t>
        </is>
      </c>
      <c r="D8" s="32" t="inlineStr">
        <is>
          <t>Usuário não consegue entrar ou pede troca de senha</t>
        </is>
      </c>
      <c r="E8" s="33">
        <f>IF(C8="","",COUNTIF('2. Chamados'!$D$8:$D$1007,C8))</f>
        <v/>
      </c>
      <c r="F8" s="34">
        <f>IF(OR(C8="",$E$39=0),"",E8/$E$39)</f>
        <v/>
      </c>
      <c r="I8" s="35" t="inlineStr">
        <is>
          <t>Corte da prioridade 🔴</t>
        </is>
      </c>
      <c r="J8" s="36" t="n">
        <v>0.8</v>
      </c>
      <c r="L8">
        <f>IF(OR(C8="",E8=0),-1,E8+(31-B8)/1000)</f>
        <v/>
      </c>
    </row>
    <row r="9" ht="20" customHeight="1">
      <c r="B9" s="31" t="n">
        <v>2</v>
      </c>
      <c r="C9" s="32" t="inlineStr">
        <is>
          <t>Erro ao emitir relatório</t>
        </is>
      </c>
      <c r="D9" s="32" t="inlineStr">
        <is>
          <t>Relatório não abre ou sai com erro</t>
        </is>
      </c>
      <c r="E9" s="33">
        <f>IF(C9="","",COUNTIF('2. Chamados'!$D$8:$D$1007,C9))</f>
        <v/>
      </c>
      <c r="F9" s="34">
        <f>IF(OR(C9="",$E$39=0),"",E9/$E$39)</f>
        <v/>
      </c>
      <c r="I9" s="35" t="inlineStr">
        <is>
          <t>Corte do planejamento 🟡</t>
        </is>
      </c>
      <c r="J9" s="36" t="n">
        <v>0.95</v>
      </c>
      <c r="L9">
        <f>IF(OR(C9="",E9=0),-1,E9+(31-B9)/1000)</f>
        <v/>
      </c>
    </row>
    <row r="10" ht="20" customHeight="1">
      <c r="B10" s="31" t="n">
        <v>3</v>
      </c>
      <c r="C10" s="32" t="inlineStr">
        <is>
          <t>Lentidão no sistema</t>
        </is>
      </c>
      <c r="D10" s="32" t="inlineStr">
        <is>
          <t>Telas demorando para carregar</t>
        </is>
      </c>
      <c r="E10" s="33">
        <f>IF(C10="","",COUNTIF('2. Chamados'!$D$8:$D$1007,C10))</f>
        <v/>
      </c>
      <c r="F10" s="34">
        <f>IF(OR(C10="",$E$39=0),"",E10/$E$39)</f>
        <v/>
      </c>
      <c r="I10" s="37" t="inlineStr">
        <is>
          <t>Padrão do Pareto: 80% e 95%.</t>
        </is>
      </c>
      <c r="L10">
        <f>IF(OR(C10="",E10=0),-1,E10+(31-B10)/1000)</f>
        <v/>
      </c>
    </row>
    <row r="11" ht="20" customHeight="1">
      <c r="B11" s="31" t="n">
        <v>4</v>
      </c>
      <c r="C11" s="32" t="inlineStr">
        <is>
          <t>Impressora</t>
        </is>
      </c>
      <c r="D11" s="32" t="inlineStr">
        <is>
          <t>Não imprime ou fila travada</t>
        </is>
      </c>
      <c r="E11" s="33">
        <f>IF(C11="","",COUNTIF('2. Chamados'!$D$8:$D$1007,C11))</f>
        <v/>
      </c>
      <c r="F11" s="34">
        <f>IF(OR(C11="",$E$39=0),"",E11/$E$39)</f>
        <v/>
      </c>
      <c r="L11">
        <f>IF(OR(C11="",E11=0),-1,E11+(31-B11)/1000)</f>
        <v/>
      </c>
    </row>
    <row r="12" ht="20" customHeight="1">
      <c r="B12" s="31" t="n">
        <v>5</v>
      </c>
      <c r="C12" s="32" t="inlineStr">
        <is>
          <t>E-mail</t>
        </is>
      </c>
      <c r="D12" s="32" t="inlineStr">
        <is>
          <t>Não envia, não recebe ou caixa cheia</t>
        </is>
      </c>
      <c r="E12" s="33">
        <f>IF(C12="","",COUNTIF('2. Chamados'!$D$8:$D$1007,C12))</f>
        <v/>
      </c>
      <c r="F12" s="34">
        <f>IF(OR(C12="",$E$39=0),"",E12/$E$39)</f>
        <v/>
      </c>
      <c r="L12">
        <f>IF(OR(C12="",E12=0),-1,E12+(31-B12)/1000)</f>
        <v/>
      </c>
    </row>
    <row r="13" ht="20" customHeight="1">
      <c r="B13" s="31" t="n">
        <v>6</v>
      </c>
      <c r="C13" s="32" t="inlineStr">
        <is>
          <t>Acesso a pastas</t>
        </is>
      </c>
      <c r="D13" s="32" t="inlineStr">
        <is>
          <t>Pedido de permissão em pasta de rede</t>
        </is>
      </c>
      <c r="E13" s="33">
        <f>IF(C13="","",COUNTIF('2. Chamados'!$D$8:$D$1007,C13))</f>
        <v/>
      </c>
      <c r="F13" s="34">
        <f>IF(OR(C13="",$E$39=0),"",E13/$E$39)</f>
        <v/>
      </c>
      <c r="L13">
        <f>IF(OR(C13="",E13=0),-1,E13+(31-B13)/1000)</f>
        <v/>
      </c>
    </row>
    <row r="14" ht="20" customHeight="1">
      <c r="B14" s="31" t="n">
        <v>7</v>
      </c>
      <c r="C14" s="32" t="inlineStr">
        <is>
          <t>VPN / acesso remoto</t>
        </is>
      </c>
      <c r="D14" s="32" t="inlineStr">
        <is>
          <t>Não conecta de fora da empresa</t>
        </is>
      </c>
      <c r="E14" s="33">
        <f>IF(C14="","",COUNTIF('2. Chamados'!$D$8:$D$1007,C14))</f>
        <v/>
      </c>
      <c r="F14" s="34">
        <f>IF(OR(C14="",$E$39=0),"",E14/$E$39)</f>
        <v/>
      </c>
      <c r="L14">
        <f>IF(OR(C14="",E14=0),-1,E14+(31-B14)/1000)</f>
        <v/>
      </c>
    </row>
    <row r="15" ht="20" customHeight="1">
      <c r="B15" s="31" t="n">
        <v>8</v>
      </c>
      <c r="C15" s="32" t="inlineStr">
        <is>
          <t>Instalação de programa</t>
        </is>
      </c>
      <c r="D15" s="32" t="inlineStr">
        <is>
          <t>Pedido de instalação ou atualização</t>
        </is>
      </c>
      <c r="E15" s="33">
        <f>IF(C15="","",COUNTIF('2. Chamados'!$D$8:$D$1007,C15))</f>
        <v/>
      </c>
      <c r="F15" s="34">
        <f>IF(OR(C15="",$E$39=0),"",E15/$E$39)</f>
        <v/>
      </c>
      <c r="L15">
        <f>IF(OR(C15="",E15=0),-1,E15+(31-B15)/1000)</f>
        <v/>
      </c>
    </row>
    <row r="16" ht="20" customHeight="1">
      <c r="B16" s="31" t="n">
        <v>9</v>
      </c>
      <c r="C16" s="32" t="inlineStr">
        <is>
          <t>Telefone / ramal</t>
        </is>
      </c>
      <c r="D16" s="32" t="inlineStr">
        <is>
          <t>Ramal mudo ou sem discagem</t>
        </is>
      </c>
      <c r="E16" s="33">
        <f>IF(C16="","",COUNTIF('2. Chamados'!$D$8:$D$1007,C16))</f>
        <v/>
      </c>
      <c r="F16" s="34">
        <f>IF(OR(C16="",$E$39=0),"",E16/$E$39)</f>
        <v/>
      </c>
      <c r="L16">
        <f>IF(OR(C16="",E16=0),-1,E16+(31-B16)/1000)</f>
        <v/>
      </c>
    </row>
    <row r="17" ht="20" customHeight="1">
      <c r="B17" s="31" t="n">
        <v>10</v>
      </c>
      <c r="C17" s="32" t="inlineStr">
        <is>
          <t>Outros</t>
        </is>
      </c>
      <c r="D17" s="32" t="inlineStr">
        <is>
          <t>Demais assuntos</t>
        </is>
      </c>
      <c r="E17" s="33">
        <f>IF(C17="","",COUNTIF('2. Chamados'!$D$8:$D$1007,C17))</f>
        <v/>
      </c>
      <c r="F17" s="34">
        <f>IF(OR(C17="",$E$39=0),"",E17/$E$39)</f>
        <v/>
      </c>
      <c r="L17">
        <f>IF(OR(C17="",E17=0),-1,E17+(31-B17)/1000)</f>
        <v/>
      </c>
    </row>
    <row r="18" ht="20" customHeight="1">
      <c r="B18" s="31" t="n">
        <v>11</v>
      </c>
      <c r="C18" s="32" t="n"/>
      <c r="D18" s="32" t="n"/>
      <c r="E18" s="33">
        <f>IF(C18="","",COUNTIF('2. Chamados'!$D$8:$D$1007,C18))</f>
        <v/>
      </c>
      <c r="F18" s="34">
        <f>IF(OR(C18="",$E$39=0),"",E18/$E$39)</f>
        <v/>
      </c>
      <c r="L18">
        <f>IF(OR(C18="",E18=0),-1,E18+(31-B18)/1000)</f>
        <v/>
      </c>
    </row>
    <row r="19" ht="20" customHeight="1">
      <c r="B19" s="31" t="n">
        <v>12</v>
      </c>
      <c r="C19" s="32" t="n"/>
      <c r="D19" s="32" t="n"/>
      <c r="E19" s="33">
        <f>IF(C19="","",COUNTIF('2. Chamados'!$D$8:$D$1007,C19))</f>
        <v/>
      </c>
      <c r="F19" s="34">
        <f>IF(OR(C19="",$E$39=0),"",E19/$E$39)</f>
        <v/>
      </c>
      <c r="L19">
        <f>IF(OR(C19="",E19=0),-1,E19+(31-B19)/1000)</f>
        <v/>
      </c>
    </row>
    <row r="20" ht="20" customHeight="1">
      <c r="B20" s="31" t="n">
        <v>13</v>
      </c>
      <c r="C20" s="32" t="n"/>
      <c r="D20" s="32" t="n"/>
      <c r="E20" s="33">
        <f>IF(C20="","",COUNTIF('2. Chamados'!$D$8:$D$1007,C20))</f>
        <v/>
      </c>
      <c r="F20" s="34">
        <f>IF(OR(C20="",$E$39=0),"",E20/$E$39)</f>
        <v/>
      </c>
      <c r="L20">
        <f>IF(OR(C20="",E20=0),-1,E20+(31-B20)/1000)</f>
        <v/>
      </c>
    </row>
    <row r="21" ht="20" customHeight="1">
      <c r="B21" s="31" t="n">
        <v>14</v>
      </c>
      <c r="C21" s="32" t="n"/>
      <c r="D21" s="32" t="n"/>
      <c r="E21" s="33">
        <f>IF(C21="","",COUNTIF('2. Chamados'!$D$8:$D$1007,C21))</f>
        <v/>
      </c>
      <c r="F21" s="34">
        <f>IF(OR(C21="",$E$39=0),"",E21/$E$39)</f>
        <v/>
      </c>
      <c r="L21">
        <f>IF(OR(C21="",E21=0),-1,E21+(31-B21)/1000)</f>
        <v/>
      </c>
    </row>
    <row r="22" ht="20" customHeight="1">
      <c r="B22" s="31" t="n">
        <v>15</v>
      </c>
      <c r="C22" s="32" t="n"/>
      <c r="D22" s="32" t="n"/>
      <c r="E22" s="33">
        <f>IF(C22="","",COUNTIF('2. Chamados'!$D$8:$D$1007,C22))</f>
        <v/>
      </c>
      <c r="F22" s="34">
        <f>IF(OR(C22="",$E$39=0),"",E22/$E$39)</f>
        <v/>
      </c>
      <c r="L22">
        <f>IF(OR(C22="",E22=0),-1,E22+(31-B22)/1000)</f>
        <v/>
      </c>
    </row>
    <row r="23" ht="20" customHeight="1">
      <c r="B23" s="31" t="n">
        <v>16</v>
      </c>
      <c r="C23" s="32" t="n"/>
      <c r="D23" s="32" t="n"/>
      <c r="E23" s="33">
        <f>IF(C23="","",COUNTIF('2. Chamados'!$D$8:$D$1007,C23))</f>
        <v/>
      </c>
      <c r="F23" s="34">
        <f>IF(OR(C23="",$E$39=0),"",E23/$E$39)</f>
        <v/>
      </c>
      <c r="L23">
        <f>IF(OR(C23="",E23=0),-1,E23+(31-B23)/1000)</f>
        <v/>
      </c>
    </row>
    <row r="24" ht="20" customHeight="1">
      <c r="B24" s="31" t="n">
        <v>17</v>
      </c>
      <c r="C24" s="32" t="n"/>
      <c r="D24" s="32" t="n"/>
      <c r="E24" s="33">
        <f>IF(C24="","",COUNTIF('2. Chamados'!$D$8:$D$1007,C24))</f>
        <v/>
      </c>
      <c r="F24" s="34">
        <f>IF(OR(C24="",$E$39=0),"",E24/$E$39)</f>
        <v/>
      </c>
      <c r="L24">
        <f>IF(OR(C24="",E24=0),-1,E24+(31-B24)/1000)</f>
        <v/>
      </c>
    </row>
    <row r="25" ht="20" customHeight="1">
      <c r="B25" s="31" t="n">
        <v>18</v>
      </c>
      <c r="C25" s="32" t="n"/>
      <c r="D25" s="32" t="n"/>
      <c r="E25" s="33">
        <f>IF(C25="","",COUNTIF('2. Chamados'!$D$8:$D$1007,C25))</f>
        <v/>
      </c>
      <c r="F25" s="34">
        <f>IF(OR(C25="",$E$39=0),"",E25/$E$39)</f>
        <v/>
      </c>
      <c r="L25">
        <f>IF(OR(C25="",E25=0),-1,E25+(31-B25)/1000)</f>
        <v/>
      </c>
    </row>
    <row r="26" ht="20" customHeight="1">
      <c r="B26" s="31" t="n">
        <v>19</v>
      </c>
      <c r="C26" s="32" t="n"/>
      <c r="D26" s="32" t="n"/>
      <c r="E26" s="33">
        <f>IF(C26="","",COUNTIF('2. Chamados'!$D$8:$D$1007,C26))</f>
        <v/>
      </c>
      <c r="F26" s="34">
        <f>IF(OR(C26="",$E$39=0),"",E26/$E$39)</f>
        <v/>
      </c>
      <c r="L26">
        <f>IF(OR(C26="",E26=0),-1,E26+(31-B26)/1000)</f>
        <v/>
      </c>
    </row>
    <row r="27" ht="20" customHeight="1">
      <c r="B27" s="31" t="n">
        <v>20</v>
      </c>
      <c r="C27" s="32" t="n"/>
      <c r="D27" s="32" t="n"/>
      <c r="E27" s="33">
        <f>IF(C27="","",COUNTIF('2. Chamados'!$D$8:$D$1007,C27))</f>
        <v/>
      </c>
      <c r="F27" s="34">
        <f>IF(OR(C27="",$E$39=0),"",E27/$E$39)</f>
        <v/>
      </c>
      <c r="L27">
        <f>IF(OR(C27="",E27=0),-1,E27+(31-B27)/1000)</f>
        <v/>
      </c>
    </row>
    <row r="28" ht="20" customHeight="1">
      <c r="B28" s="31" t="n">
        <v>21</v>
      </c>
      <c r="C28" s="32" t="n"/>
      <c r="D28" s="32" t="n"/>
      <c r="E28" s="33">
        <f>IF(C28="","",COUNTIF('2. Chamados'!$D$8:$D$1007,C28))</f>
        <v/>
      </c>
      <c r="F28" s="34">
        <f>IF(OR(C28="",$E$39=0),"",E28/$E$39)</f>
        <v/>
      </c>
      <c r="L28">
        <f>IF(OR(C28="",E28=0),-1,E28+(31-B28)/1000)</f>
        <v/>
      </c>
    </row>
    <row r="29" ht="20" customHeight="1">
      <c r="B29" s="31" t="n">
        <v>22</v>
      </c>
      <c r="C29" s="32" t="n"/>
      <c r="D29" s="32" t="n"/>
      <c r="E29" s="33">
        <f>IF(C29="","",COUNTIF('2. Chamados'!$D$8:$D$1007,C29))</f>
        <v/>
      </c>
      <c r="F29" s="34">
        <f>IF(OR(C29="",$E$39=0),"",E29/$E$39)</f>
        <v/>
      </c>
      <c r="L29">
        <f>IF(OR(C29="",E29=0),-1,E29+(31-B29)/1000)</f>
        <v/>
      </c>
    </row>
    <row r="30" ht="20" customHeight="1">
      <c r="B30" s="31" t="n">
        <v>23</v>
      </c>
      <c r="C30" s="32" t="n"/>
      <c r="D30" s="32" t="n"/>
      <c r="E30" s="33">
        <f>IF(C30="","",COUNTIF('2. Chamados'!$D$8:$D$1007,C30))</f>
        <v/>
      </c>
      <c r="F30" s="34">
        <f>IF(OR(C30="",$E$39=0),"",E30/$E$39)</f>
        <v/>
      </c>
      <c r="L30">
        <f>IF(OR(C30="",E30=0),-1,E30+(31-B30)/1000)</f>
        <v/>
      </c>
    </row>
    <row r="31" ht="20" customHeight="1">
      <c r="B31" s="31" t="n">
        <v>24</v>
      </c>
      <c r="C31" s="32" t="n"/>
      <c r="D31" s="32" t="n"/>
      <c r="E31" s="33">
        <f>IF(C31="","",COUNTIF('2. Chamados'!$D$8:$D$1007,C31))</f>
        <v/>
      </c>
      <c r="F31" s="34">
        <f>IF(OR(C31="",$E$39=0),"",E31/$E$39)</f>
        <v/>
      </c>
      <c r="L31">
        <f>IF(OR(C31="",E31=0),-1,E31+(31-B31)/1000)</f>
        <v/>
      </c>
    </row>
    <row r="32" ht="20" customHeight="1">
      <c r="B32" s="31" t="n">
        <v>25</v>
      </c>
      <c r="C32" s="32" t="n"/>
      <c r="D32" s="32" t="n"/>
      <c r="E32" s="33">
        <f>IF(C32="","",COUNTIF('2. Chamados'!$D$8:$D$1007,C32))</f>
        <v/>
      </c>
      <c r="F32" s="34">
        <f>IF(OR(C32="",$E$39=0),"",E32/$E$39)</f>
        <v/>
      </c>
      <c r="L32">
        <f>IF(OR(C32="",E32=0),-1,E32+(31-B32)/1000)</f>
        <v/>
      </c>
    </row>
    <row r="33" ht="20" customHeight="1">
      <c r="B33" s="31" t="n">
        <v>26</v>
      </c>
      <c r="C33" s="32" t="n"/>
      <c r="D33" s="32" t="n"/>
      <c r="E33" s="33">
        <f>IF(C33="","",COUNTIF('2. Chamados'!$D$8:$D$1007,C33))</f>
        <v/>
      </c>
      <c r="F33" s="34">
        <f>IF(OR(C33="",$E$39=0),"",E33/$E$39)</f>
        <v/>
      </c>
      <c r="L33">
        <f>IF(OR(C33="",E33=0),-1,E33+(31-B33)/1000)</f>
        <v/>
      </c>
    </row>
    <row r="34" ht="20" customHeight="1">
      <c r="B34" s="31" t="n">
        <v>27</v>
      </c>
      <c r="C34" s="32" t="n"/>
      <c r="D34" s="32" t="n"/>
      <c r="E34" s="33">
        <f>IF(C34="","",COUNTIF('2. Chamados'!$D$8:$D$1007,C34))</f>
        <v/>
      </c>
      <c r="F34" s="34">
        <f>IF(OR(C34="",$E$39=0),"",E34/$E$39)</f>
        <v/>
      </c>
      <c r="L34">
        <f>IF(OR(C34="",E34=0),-1,E34+(31-B34)/1000)</f>
        <v/>
      </c>
    </row>
    <row r="35" ht="20" customHeight="1">
      <c r="B35" s="31" t="n">
        <v>28</v>
      </c>
      <c r="C35" s="32" t="n"/>
      <c r="D35" s="32" t="n"/>
      <c r="E35" s="33">
        <f>IF(C35="","",COUNTIF('2. Chamados'!$D$8:$D$1007,C35))</f>
        <v/>
      </c>
      <c r="F35" s="34">
        <f>IF(OR(C35="",$E$39=0),"",E35/$E$39)</f>
        <v/>
      </c>
      <c r="L35">
        <f>IF(OR(C35="",E35=0),-1,E35+(31-B35)/1000)</f>
        <v/>
      </c>
    </row>
    <row r="36" ht="20" customHeight="1">
      <c r="B36" s="31" t="n">
        <v>29</v>
      </c>
      <c r="C36" s="32" t="n"/>
      <c r="D36" s="32" t="n"/>
      <c r="E36" s="33">
        <f>IF(C36="","",COUNTIF('2. Chamados'!$D$8:$D$1007,C36))</f>
        <v/>
      </c>
      <c r="F36" s="34">
        <f>IF(OR(C36="",$E$39=0),"",E36/$E$39)</f>
        <v/>
      </c>
      <c r="L36">
        <f>IF(OR(C36="",E36=0),-1,E36+(31-B36)/1000)</f>
        <v/>
      </c>
    </row>
    <row r="37" ht="20" customHeight="1">
      <c r="B37" s="31" t="n">
        <v>30</v>
      </c>
      <c r="C37" s="32" t="n"/>
      <c r="D37" s="32" t="n"/>
      <c r="E37" s="33">
        <f>IF(C37="","",COUNTIF('2. Chamados'!$D$8:$D$1007,C37))</f>
        <v/>
      </c>
      <c r="F37" s="34">
        <f>IF(OR(C37="",$E$39=0),"",E37/$E$39)</f>
        <v/>
      </c>
      <c r="L37">
        <f>IF(OR(C37="",E37=0),-1,E37+(31-B37)/1000)</f>
        <v/>
      </c>
    </row>
    <row r="39">
      <c r="D39" s="38" t="inlineStr">
        <is>
          <t>Total de chamados</t>
        </is>
      </c>
      <c r="E39" s="39">
        <f>SUM(E8:E37)</f>
        <v/>
      </c>
    </row>
    <row r="40">
      <c r="C40" s="22" t="inlineStr">
        <is>
          <t>Temas repetidos ficam em vermelho: cada tema deve aparecer uma vez só.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C8:C37">
    <cfRule type="expression" priority="1" dxfId="0">
      <formula>AND(C8&lt;&gt;"",COUNTIF($C$8:$C$37,C8)&gt;1)</formula>
    </cfRule>
  </conditionalFormatting>
  <dataValidations count="1">
    <dataValidation sqref="J8:J9" showDropDown="0" showInputMessage="0" showErrorMessage="1" allowBlank="0" errorTitle="Valor inválido" error="Use um percentual entre 50% e 99%." type="decimal" operator="between">
      <formula1>0.5</formula1>
      <formula2>0.99</formula2>
    </dataValidation>
  </dataValidations>
  <hyperlinks>
    <hyperlink xmlns:r="http://schemas.openxmlformats.org/officeDocument/2006/relationships" ref="J2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2C14E"/>
    <outlinePr summaryBelow="1" summaryRight="1"/>
    <pageSetUpPr fitToPage="1"/>
  </sheetPr>
  <dimension ref="A1:G10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3" customWidth="1" min="3" max="3"/>
    <col width="32" customWidth="1" min="4" max="4"/>
    <col width="52" customWidth="1" min="5" max="5"/>
    <col width="24" customWidth="1" min="6" max="6"/>
    <col width="3" customWidth="1" min="7" max="7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2" t="inlineStr">
        <is>
          <t>2. Chamados</t>
        </is>
      </c>
      <c r="C2" s="1" t="n"/>
      <c r="D2" s="1" t="n"/>
      <c r="E2" s="1" t="n"/>
      <c r="F2" s="3" t="inlineStr">
        <is>
          <t>Miller Barros · portfólio ↗</t>
        </is>
      </c>
      <c r="G2" s="1" t="n"/>
    </row>
    <row r="3" ht="22" customHeight="1">
      <c r="A3" s="1" t="n"/>
      <c r="B3" s="4" t="inlineStr">
        <is>
          <t>Um chamado por linha. Escolha o tema na lista da coluna Tema.</t>
        </is>
      </c>
      <c r="C3" s="1" t="n"/>
      <c r="D3" s="1" t="n"/>
      <c r="E3" s="1" t="n"/>
      <c r="F3" s="28" t="inlineStr">
        <is>
          <t>Passo 2 de 3</t>
        </is>
      </c>
      <c r="G3" s="1" t="n"/>
    </row>
    <row r="4" ht="14" customHeight="1"/>
    <row r="5">
      <c r="B5" s="22" t="inlineStr">
        <is>
          <t>Se o tema não aparecer na lista, cadastre-o primeiro na aba 1. Temas. A coluna Verificação avisa quando falta algo.</t>
        </is>
      </c>
    </row>
    <row r="7" ht="26" customHeight="1">
      <c r="B7" s="29" t="inlineStr">
        <is>
          <t>Nº do chamado</t>
        </is>
      </c>
      <c r="C7" s="29" t="inlineStr">
        <is>
          <t>Data</t>
        </is>
      </c>
      <c r="D7" s="29" t="inlineStr">
        <is>
          <t>Tema</t>
        </is>
      </c>
      <c r="E7" s="29" t="inlineStr">
        <is>
          <t>Descrição (opcional)</t>
        </is>
      </c>
      <c r="F7" s="29" t="inlineStr">
        <is>
          <t>Verificação</t>
        </is>
      </c>
    </row>
    <row r="8">
      <c r="B8" s="40" t="inlineStr">
        <is>
          <t>CH-1001</t>
        </is>
      </c>
      <c r="C8" s="41" t="n">
        <v>46266</v>
      </c>
      <c r="D8" s="42" t="inlineStr">
        <is>
          <t>Falha de acesso / senha</t>
        </is>
      </c>
      <c r="E8" s="42" t="inlineStr">
        <is>
          <t>Usuário bloqueado após troca de senha (cenário fictício)</t>
        </is>
      </c>
      <c r="F8" s="43">
        <f>IF(AND(B8="",D8=""),"",IF(D8="","⚠ Escolha o tema",IF(COUNTIF('1. Temas'!$C$8:$C$37,D8)=0,"⚠ Tema não cadastrado","✔ OK")))</f>
        <v/>
      </c>
    </row>
    <row r="9">
      <c r="B9" s="40" t="inlineStr">
        <is>
          <t>CH-1002</t>
        </is>
      </c>
      <c r="C9" s="41" t="n">
        <v>46267</v>
      </c>
      <c r="D9" s="42" t="inlineStr">
        <is>
          <t>Falha de acesso / senha</t>
        </is>
      </c>
      <c r="E9" s="42" t="inlineStr">
        <is>
          <t>Usuário bloqueado após troca de senha (cenário fictício)</t>
        </is>
      </c>
      <c r="F9" s="43">
        <f>IF(AND(B9="",D9=""),"",IF(D9="","⚠ Escolha o tema",IF(COUNTIF('1. Temas'!$C$8:$C$37,D9)=0,"⚠ Tema não cadastrado","✔ OK")))</f>
        <v/>
      </c>
    </row>
    <row r="10">
      <c r="B10" s="40" t="inlineStr">
        <is>
          <t>CH-1003</t>
        </is>
      </c>
      <c r="C10" s="41" t="n">
        <v>46268</v>
      </c>
      <c r="D10" s="42" t="inlineStr">
        <is>
          <t>Lentidão no sistema</t>
        </is>
      </c>
      <c r="E10" s="42" t="inlineStr">
        <is>
          <t>Sistema lento no início do expediente (cenário fictício)</t>
        </is>
      </c>
      <c r="F10" s="43">
        <f>IF(AND(B10="",D10=""),"",IF(D10="","⚠ Escolha o tema",IF(COUNTIF('1. Temas'!$C$8:$C$37,D10)=0,"⚠ Tema não cadastrado","✔ OK")))</f>
        <v/>
      </c>
    </row>
    <row r="11">
      <c r="B11" s="40" t="inlineStr">
        <is>
          <t>CH-1004</t>
        </is>
      </c>
      <c r="C11" s="41" t="n">
        <v>46269</v>
      </c>
      <c r="D11" s="42" t="inlineStr">
        <is>
          <t>Erro ao emitir relatório</t>
        </is>
      </c>
      <c r="E11" s="42" t="inlineStr">
        <is>
          <t>Relatório mensal não gera (cenário fictício)</t>
        </is>
      </c>
      <c r="F11" s="43">
        <f>IF(AND(B11="",D11=""),"",IF(D11="","⚠ Escolha o tema",IF(COUNTIF('1. Temas'!$C$8:$C$37,D11)=0,"⚠ Tema não cadastrado","✔ OK")))</f>
        <v/>
      </c>
    </row>
    <row r="12">
      <c r="B12" s="40" t="inlineStr">
        <is>
          <t>CH-1005</t>
        </is>
      </c>
      <c r="C12" s="41" t="n">
        <v>46270</v>
      </c>
      <c r="D12" s="42" t="inlineStr">
        <is>
          <t>Falha de acesso / senha</t>
        </is>
      </c>
      <c r="E12" s="42" t="inlineStr">
        <is>
          <t>Usuário bloqueado após troca de senha (cenário fictício)</t>
        </is>
      </c>
      <c r="F12" s="43">
        <f>IF(AND(B12="",D12=""),"",IF(D12="","⚠ Escolha o tema",IF(COUNTIF('1. Temas'!$C$8:$C$37,D12)=0,"⚠ Tema não cadastrado","✔ OK")))</f>
        <v/>
      </c>
    </row>
    <row r="13">
      <c r="B13" s="40" t="inlineStr">
        <is>
          <t>CH-1006</t>
        </is>
      </c>
      <c r="C13" s="41" t="n">
        <v>46271</v>
      </c>
      <c r="D13" s="42" t="inlineStr">
        <is>
          <t>Falha de acesso / senha</t>
        </is>
      </c>
      <c r="E13" s="42" t="inlineStr">
        <is>
          <t>Usuário bloqueado após troca de senha (cenário fictício)</t>
        </is>
      </c>
      <c r="F13" s="43">
        <f>IF(AND(B13="",D13=""),"",IF(D13="","⚠ Escolha o tema",IF(COUNTIF('1. Temas'!$C$8:$C$37,D13)=0,"⚠ Tema não cadastrado","✔ OK")))</f>
        <v/>
      </c>
    </row>
    <row r="14">
      <c r="B14" s="40" t="inlineStr">
        <is>
          <t>CH-1007</t>
        </is>
      </c>
      <c r="C14" s="41" t="n">
        <v>46272</v>
      </c>
      <c r="D14" s="42" t="inlineStr">
        <is>
          <t>Telefone / ramal</t>
        </is>
      </c>
      <c r="E14" s="42" t="inlineStr">
        <is>
          <t>Ramal sem linha (cenário fictício)</t>
        </is>
      </c>
      <c r="F14" s="43">
        <f>IF(AND(B14="",D14=""),"",IF(D14="","⚠ Escolha o tema",IF(COUNTIF('1. Temas'!$C$8:$C$37,D14)=0,"⚠ Tema não cadastrado","✔ OK")))</f>
        <v/>
      </c>
    </row>
    <row r="15">
      <c r="B15" s="40" t="inlineStr">
        <is>
          <t>CH-1008</t>
        </is>
      </c>
      <c r="C15" s="41" t="n">
        <v>46273</v>
      </c>
      <c r="D15" s="42" t="inlineStr">
        <is>
          <t>Falha de acesso / senha</t>
        </is>
      </c>
      <c r="E15" s="42" t="inlineStr">
        <is>
          <t>Usuário bloqueado após troca de senha (cenário fictício)</t>
        </is>
      </c>
      <c r="F15" s="43">
        <f>IF(AND(B15="",D15=""),"",IF(D15="","⚠ Escolha o tema",IF(COUNTIF('1. Temas'!$C$8:$C$37,D15)=0,"⚠ Tema não cadastrado","✔ OK")))</f>
        <v/>
      </c>
    </row>
    <row r="16">
      <c r="B16" s="40" t="inlineStr">
        <is>
          <t>CH-1009</t>
        </is>
      </c>
      <c r="C16" s="41" t="n">
        <v>46274</v>
      </c>
      <c r="D16" s="42" t="inlineStr">
        <is>
          <t>Lentidão no sistema</t>
        </is>
      </c>
      <c r="E16" s="42" t="inlineStr">
        <is>
          <t>Sistema lento no início do expediente (cenário fictício)</t>
        </is>
      </c>
      <c r="F16" s="43">
        <f>IF(AND(B16="",D16=""),"",IF(D16="","⚠ Escolha o tema",IF(COUNTIF('1. Temas'!$C$8:$C$37,D16)=0,"⚠ Tema não cadastrado","✔ OK")))</f>
        <v/>
      </c>
    </row>
    <row r="17">
      <c r="B17" s="40" t="inlineStr">
        <is>
          <t>CH-1010</t>
        </is>
      </c>
      <c r="C17" s="41" t="n">
        <v>46275</v>
      </c>
      <c r="D17" s="42" t="inlineStr">
        <is>
          <t>Falha de acesso / senha</t>
        </is>
      </c>
      <c r="E17" s="42" t="inlineStr">
        <is>
          <t>Usuário bloqueado após troca de senha (cenário fictício)</t>
        </is>
      </c>
      <c r="F17" s="43">
        <f>IF(AND(B17="",D17=""),"",IF(D17="","⚠ Escolha o tema",IF(COUNTIF('1. Temas'!$C$8:$C$37,D17)=0,"⚠ Tema não cadastrado","✔ OK")))</f>
        <v/>
      </c>
    </row>
    <row r="18">
      <c r="B18" s="40" t="inlineStr">
        <is>
          <t>CH-1011</t>
        </is>
      </c>
      <c r="C18" s="41" t="n">
        <v>46276</v>
      </c>
      <c r="D18" s="42" t="inlineStr">
        <is>
          <t>Lentidão no sistema</t>
        </is>
      </c>
      <c r="E18" s="42" t="inlineStr">
        <is>
          <t>Sistema lento no início do expediente (cenário fictício)</t>
        </is>
      </c>
      <c r="F18" s="43">
        <f>IF(AND(B18="",D18=""),"",IF(D18="","⚠ Escolha o tema",IF(COUNTIF('1. Temas'!$C$8:$C$37,D18)=0,"⚠ Tema não cadastrado","✔ OK")))</f>
        <v/>
      </c>
    </row>
    <row r="19">
      <c r="B19" s="40" t="inlineStr">
        <is>
          <t>CH-1012</t>
        </is>
      </c>
      <c r="C19" s="41" t="n">
        <v>46277</v>
      </c>
      <c r="D19" s="42" t="inlineStr">
        <is>
          <t>Erro ao emitir relatório</t>
        </is>
      </c>
      <c r="E19" s="42" t="inlineStr">
        <is>
          <t>Relatório mensal não gera (cenário fictício)</t>
        </is>
      </c>
      <c r="F19" s="43">
        <f>IF(AND(B19="",D19=""),"",IF(D19="","⚠ Escolha o tema",IF(COUNTIF('1. Temas'!$C$8:$C$37,D19)=0,"⚠ Tema não cadastrado","✔ OK")))</f>
        <v/>
      </c>
    </row>
    <row r="20">
      <c r="B20" s="40" t="inlineStr">
        <is>
          <t>CH-1013</t>
        </is>
      </c>
      <c r="C20" s="41" t="n">
        <v>46278</v>
      </c>
      <c r="D20" s="42" t="inlineStr">
        <is>
          <t>Impressora</t>
        </is>
      </c>
      <c r="E20" s="42" t="inlineStr">
        <is>
          <t>Impressora do 2º andar sem imprimir (cenário fictício)</t>
        </is>
      </c>
      <c r="F20" s="43">
        <f>IF(AND(B20="",D20=""),"",IF(D20="","⚠ Escolha o tema",IF(COUNTIF('1. Temas'!$C$8:$C$37,D20)=0,"⚠ Tema não cadastrado","✔ OK")))</f>
        <v/>
      </c>
    </row>
    <row r="21">
      <c r="B21" s="40" t="inlineStr">
        <is>
          <t>CH-1014</t>
        </is>
      </c>
      <c r="C21" s="41" t="n">
        <v>46279</v>
      </c>
      <c r="D21" s="42" t="inlineStr">
        <is>
          <t>Outros</t>
        </is>
      </c>
      <c r="E21" s="42" t="inlineStr">
        <is>
          <t>Dúvida sobre atalho de teclado (cenário fictício)</t>
        </is>
      </c>
      <c r="F21" s="43">
        <f>IF(AND(B21="",D21=""),"",IF(D21="","⚠ Escolha o tema",IF(COUNTIF('1. Temas'!$C$8:$C$37,D21)=0,"⚠ Tema não cadastrado","✔ OK")))</f>
        <v/>
      </c>
    </row>
    <row r="22">
      <c r="B22" s="40" t="inlineStr">
        <is>
          <t>CH-1015</t>
        </is>
      </c>
      <c r="C22" s="41" t="n">
        <v>46280</v>
      </c>
      <c r="D22" s="42" t="inlineStr">
        <is>
          <t>Falha de acesso / senha</t>
        </is>
      </c>
      <c r="E22" s="42" t="inlineStr">
        <is>
          <t>Usuário bloqueado após troca de senha (cenário fictício)</t>
        </is>
      </c>
      <c r="F22" s="43">
        <f>IF(AND(B22="",D22=""),"",IF(D22="","⚠ Escolha o tema",IF(COUNTIF('1. Temas'!$C$8:$C$37,D22)=0,"⚠ Tema não cadastrado","✔ OK")))</f>
        <v/>
      </c>
    </row>
    <row r="23">
      <c r="B23" s="40" t="inlineStr">
        <is>
          <t>CH-1016</t>
        </is>
      </c>
      <c r="C23" s="41" t="n">
        <v>46281</v>
      </c>
      <c r="D23" s="42" t="inlineStr">
        <is>
          <t>Falha de acesso / senha</t>
        </is>
      </c>
      <c r="E23" s="42" t="inlineStr">
        <is>
          <t>Usuário bloqueado após troca de senha (cenário fictício)</t>
        </is>
      </c>
      <c r="F23" s="43">
        <f>IF(AND(B23="",D23=""),"",IF(D23="","⚠ Escolha o tema",IF(COUNTIF('1. Temas'!$C$8:$C$37,D23)=0,"⚠ Tema não cadastrado","✔ OK")))</f>
        <v/>
      </c>
    </row>
    <row r="24">
      <c r="B24" s="40" t="inlineStr">
        <is>
          <t>CH-1017</t>
        </is>
      </c>
      <c r="C24" s="41" t="n">
        <v>46282</v>
      </c>
      <c r="D24" s="42" t="inlineStr">
        <is>
          <t>Falha de acesso / senha</t>
        </is>
      </c>
      <c r="E24" s="42" t="inlineStr">
        <is>
          <t>Usuário bloqueado após troca de senha (cenário fictício)</t>
        </is>
      </c>
      <c r="F24" s="43">
        <f>IF(AND(B24="",D24=""),"",IF(D24="","⚠ Escolha o tema",IF(COUNTIF('1. Temas'!$C$8:$C$37,D24)=0,"⚠ Tema não cadastrado","✔ OK")))</f>
        <v/>
      </c>
    </row>
    <row r="25">
      <c r="B25" s="40" t="inlineStr">
        <is>
          <t>CH-1018</t>
        </is>
      </c>
      <c r="C25" s="41" t="n">
        <v>46283</v>
      </c>
      <c r="D25" s="42" t="inlineStr">
        <is>
          <t>Erro ao emitir relatório</t>
        </is>
      </c>
      <c r="E25" s="42" t="inlineStr">
        <is>
          <t>Relatório mensal não gera (cenário fictício)</t>
        </is>
      </c>
      <c r="F25" s="43">
        <f>IF(AND(B25="",D25=""),"",IF(D25="","⚠ Escolha o tema",IF(COUNTIF('1. Temas'!$C$8:$C$37,D25)=0,"⚠ Tema não cadastrado","✔ OK")))</f>
        <v/>
      </c>
    </row>
    <row r="26">
      <c r="B26" s="40" t="inlineStr">
        <is>
          <t>CH-1019</t>
        </is>
      </c>
      <c r="C26" s="41" t="n">
        <v>46284</v>
      </c>
      <c r="D26" s="42" t="inlineStr">
        <is>
          <t>Erro ao emitir relatório</t>
        </is>
      </c>
      <c r="E26" s="42" t="inlineStr">
        <is>
          <t>Relatório mensal não gera (cenário fictício)</t>
        </is>
      </c>
      <c r="F26" s="43">
        <f>IF(AND(B26="",D26=""),"",IF(D26="","⚠ Escolha o tema",IF(COUNTIF('1. Temas'!$C$8:$C$37,D26)=0,"⚠ Tema não cadastrado","✔ OK")))</f>
        <v/>
      </c>
    </row>
    <row r="27">
      <c r="B27" s="40" t="inlineStr">
        <is>
          <t>CH-1020</t>
        </is>
      </c>
      <c r="C27" s="41" t="n">
        <v>46285</v>
      </c>
      <c r="D27" s="42" t="inlineStr">
        <is>
          <t>E-mail</t>
        </is>
      </c>
      <c r="E27" s="42" t="inlineStr">
        <is>
          <t>E-mail não chega para cliente (cenário fictício)</t>
        </is>
      </c>
      <c r="F27" s="43">
        <f>IF(AND(B27="",D27=""),"",IF(D27="","⚠ Escolha o tema",IF(COUNTIF('1. Temas'!$C$8:$C$37,D27)=0,"⚠ Tema não cadastrado","✔ OK")))</f>
        <v/>
      </c>
    </row>
    <row r="28">
      <c r="B28" s="40" t="inlineStr">
        <is>
          <t>CH-1021</t>
        </is>
      </c>
      <c r="C28" s="41" t="n">
        <v>46286</v>
      </c>
      <c r="D28" s="42" t="inlineStr">
        <is>
          <t>Lentidão no sistema</t>
        </is>
      </c>
      <c r="E28" s="42" t="inlineStr">
        <is>
          <t>Sistema lento no início do expediente (cenário fictício)</t>
        </is>
      </c>
      <c r="F28" s="43">
        <f>IF(AND(B28="",D28=""),"",IF(D28="","⚠ Escolha o tema",IF(COUNTIF('1. Temas'!$C$8:$C$37,D28)=0,"⚠ Tema não cadastrado","✔ OK")))</f>
        <v/>
      </c>
    </row>
    <row r="29">
      <c r="B29" s="40" t="inlineStr">
        <is>
          <t>CH-1022</t>
        </is>
      </c>
      <c r="C29" s="41" t="n">
        <v>46287</v>
      </c>
      <c r="D29" s="42" t="inlineStr">
        <is>
          <t>Falha de acesso / senha</t>
        </is>
      </c>
      <c r="E29" s="42" t="inlineStr">
        <is>
          <t>Usuário bloqueado após troca de senha (cenário fictício)</t>
        </is>
      </c>
      <c r="F29" s="43">
        <f>IF(AND(B29="",D29=""),"",IF(D29="","⚠ Escolha o tema",IF(COUNTIF('1. Temas'!$C$8:$C$37,D29)=0,"⚠ Tema não cadastrado","✔ OK")))</f>
        <v/>
      </c>
    </row>
    <row r="30">
      <c r="B30" s="40" t="inlineStr">
        <is>
          <t>CH-1023</t>
        </is>
      </c>
      <c r="C30" s="41" t="n">
        <v>46288</v>
      </c>
      <c r="D30" s="42" t="inlineStr">
        <is>
          <t>Erro ao emitir relatório</t>
        </is>
      </c>
      <c r="E30" s="42" t="inlineStr">
        <is>
          <t>Relatório mensal não gera (cenário fictício)</t>
        </is>
      </c>
      <c r="F30" s="43">
        <f>IF(AND(B30="",D30=""),"",IF(D30="","⚠ Escolha o tema",IF(COUNTIF('1. Temas'!$C$8:$C$37,D30)=0,"⚠ Tema não cadastrado","✔ OK")))</f>
        <v/>
      </c>
    </row>
    <row r="31">
      <c r="B31" s="40" t="inlineStr">
        <is>
          <t>CH-1024</t>
        </is>
      </c>
      <c r="C31" s="41" t="n">
        <v>46289</v>
      </c>
      <c r="D31" s="42" t="inlineStr">
        <is>
          <t>Erro ao emitir relatório</t>
        </is>
      </c>
      <c r="E31" s="42" t="inlineStr">
        <is>
          <t>Relatório mensal não gera (cenário fictício)</t>
        </is>
      </c>
      <c r="F31" s="43">
        <f>IF(AND(B31="",D31=""),"",IF(D31="","⚠ Escolha o tema",IF(COUNTIF('1. Temas'!$C$8:$C$37,D31)=0,"⚠ Tema não cadastrado","✔ OK")))</f>
        <v/>
      </c>
    </row>
    <row r="32">
      <c r="B32" s="40" t="inlineStr">
        <is>
          <t>CH-1025</t>
        </is>
      </c>
      <c r="C32" s="41" t="n">
        <v>46290</v>
      </c>
      <c r="D32" s="42" t="inlineStr">
        <is>
          <t>Impressora</t>
        </is>
      </c>
      <c r="E32" s="42" t="inlineStr">
        <is>
          <t>Impressora do 2º andar sem imprimir (cenário fictício)</t>
        </is>
      </c>
      <c r="F32" s="43">
        <f>IF(AND(B32="",D32=""),"",IF(D32="","⚠ Escolha o tema",IF(COUNTIF('1. Temas'!$C$8:$C$37,D32)=0,"⚠ Tema não cadastrado","✔ OK")))</f>
        <v/>
      </c>
    </row>
    <row r="33">
      <c r="B33" s="40" t="inlineStr">
        <is>
          <t>CH-1026</t>
        </is>
      </c>
      <c r="C33" s="41" t="n">
        <v>46291</v>
      </c>
      <c r="D33" s="42" t="inlineStr">
        <is>
          <t>Erro ao emitir relatório</t>
        </is>
      </c>
      <c r="E33" s="42" t="inlineStr">
        <is>
          <t>Relatório mensal não gera (cenário fictício)</t>
        </is>
      </c>
      <c r="F33" s="43">
        <f>IF(AND(B33="",D33=""),"",IF(D33="","⚠ Escolha o tema",IF(COUNTIF('1. Temas'!$C$8:$C$37,D33)=0,"⚠ Tema não cadastrado","✔ OK")))</f>
        <v/>
      </c>
    </row>
    <row r="34">
      <c r="B34" s="40" t="inlineStr">
        <is>
          <t>CH-1027</t>
        </is>
      </c>
      <c r="C34" s="41" t="n">
        <v>46292</v>
      </c>
      <c r="D34" s="42" t="inlineStr">
        <is>
          <t>Erro ao emitir relatório</t>
        </is>
      </c>
      <c r="E34" s="42" t="inlineStr">
        <is>
          <t>Relatório mensal não gera (cenário fictício)</t>
        </is>
      </c>
      <c r="F34" s="43">
        <f>IF(AND(B34="",D34=""),"",IF(D34="","⚠ Escolha o tema",IF(COUNTIF('1. Temas'!$C$8:$C$37,D34)=0,"⚠ Tema não cadastrado","✔ OK")))</f>
        <v/>
      </c>
    </row>
    <row r="35">
      <c r="B35" s="40" t="inlineStr">
        <is>
          <t>CH-1028</t>
        </is>
      </c>
      <c r="C35" s="41" t="n">
        <v>46293</v>
      </c>
      <c r="D35" s="42" t="inlineStr">
        <is>
          <t>Erro ao emitir relatório</t>
        </is>
      </c>
      <c r="E35" s="42" t="inlineStr">
        <is>
          <t>Relatório mensal não gera (cenário fictício)</t>
        </is>
      </c>
      <c r="F35" s="43">
        <f>IF(AND(B35="",D35=""),"",IF(D35="","⚠ Escolha o tema",IF(COUNTIF('1. Temas'!$C$8:$C$37,D35)=0,"⚠ Tema não cadastrado","✔ OK")))</f>
        <v/>
      </c>
    </row>
    <row r="36">
      <c r="B36" s="40" t="inlineStr">
        <is>
          <t>CH-1029</t>
        </is>
      </c>
      <c r="C36" s="41" t="n">
        <v>46294</v>
      </c>
      <c r="D36" s="42" t="inlineStr">
        <is>
          <t>Falha de acesso / senha</t>
        </is>
      </c>
      <c r="E36" s="42" t="inlineStr">
        <is>
          <t>Usuário bloqueado após troca de senha (cenário fictício)</t>
        </is>
      </c>
      <c r="F36" s="43">
        <f>IF(AND(B36="",D36=""),"",IF(D36="","⚠ Escolha o tema",IF(COUNTIF('1. Temas'!$C$8:$C$37,D36)=0,"⚠ Tema não cadastrado","✔ OK")))</f>
        <v/>
      </c>
    </row>
    <row r="37">
      <c r="B37" s="40" t="inlineStr">
        <is>
          <t>CH-1030</t>
        </is>
      </c>
      <c r="C37" s="41" t="n">
        <v>46295</v>
      </c>
      <c r="D37" s="42" t="inlineStr">
        <is>
          <t>Falha de acesso / senha</t>
        </is>
      </c>
      <c r="E37" s="42" t="inlineStr">
        <is>
          <t>Usuário bloqueado após troca de senha (cenário fictício)</t>
        </is>
      </c>
      <c r="F37" s="43">
        <f>IF(AND(B37="",D37=""),"",IF(D37="","⚠ Escolha o tema",IF(COUNTIF('1. Temas'!$C$8:$C$37,D37)=0,"⚠ Tema não cadastrado","✔ OK")))</f>
        <v/>
      </c>
    </row>
    <row r="38">
      <c r="B38" s="40" t="inlineStr">
        <is>
          <t>CH-1031</t>
        </is>
      </c>
      <c r="C38" s="41" t="n">
        <v>46266</v>
      </c>
      <c r="D38" s="42" t="inlineStr">
        <is>
          <t>Falha de acesso / senha</t>
        </is>
      </c>
      <c r="E38" s="42" t="inlineStr">
        <is>
          <t>Usuário bloqueado após troca de senha (cenário fictício)</t>
        </is>
      </c>
      <c r="F38" s="43">
        <f>IF(AND(B38="",D38=""),"",IF(D38="","⚠ Escolha o tema",IF(COUNTIF('1. Temas'!$C$8:$C$37,D38)=0,"⚠ Tema não cadastrado","✔ OK")))</f>
        <v/>
      </c>
    </row>
    <row r="39">
      <c r="B39" s="40" t="inlineStr">
        <is>
          <t>CH-1032</t>
        </is>
      </c>
      <c r="C39" s="41" t="n">
        <v>46267</v>
      </c>
      <c r="D39" s="42" t="inlineStr">
        <is>
          <t>Falha de acesso / senha</t>
        </is>
      </c>
      <c r="E39" s="42" t="inlineStr">
        <is>
          <t>Usuário bloqueado após troca de senha (cenário fictício)</t>
        </is>
      </c>
      <c r="F39" s="43">
        <f>IF(AND(B39="",D39=""),"",IF(D39="","⚠ Escolha o tema",IF(COUNTIF('1. Temas'!$C$8:$C$37,D39)=0,"⚠ Tema não cadastrado","✔ OK")))</f>
        <v/>
      </c>
    </row>
    <row r="40">
      <c r="B40" s="40" t="inlineStr">
        <is>
          <t>CH-1033</t>
        </is>
      </c>
      <c r="C40" s="41" t="n">
        <v>46268</v>
      </c>
      <c r="D40" s="42" t="inlineStr">
        <is>
          <t>Erro ao emitir relatório</t>
        </is>
      </c>
      <c r="E40" s="42" t="inlineStr">
        <is>
          <t>Relatório mensal não gera (cenário fictício)</t>
        </is>
      </c>
      <c r="F40" s="43">
        <f>IF(AND(B40="",D40=""),"",IF(D40="","⚠ Escolha o tema",IF(COUNTIF('1. Temas'!$C$8:$C$37,D40)=0,"⚠ Tema não cadastrado","✔ OK")))</f>
        <v/>
      </c>
    </row>
    <row r="41">
      <c r="B41" s="40" t="inlineStr">
        <is>
          <t>CH-1034</t>
        </is>
      </c>
      <c r="C41" s="41" t="n">
        <v>46269</v>
      </c>
      <c r="D41" s="42" t="inlineStr">
        <is>
          <t>Acesso a pastas</t>
        </is>
      </c>
      <c r="E41" s="42" t="inlineStr">
        <is>
          <t>Acesso à pasta do financeiro (cenário fictício)</t>
        </is>
      </c>
      <c r="F41" s="43">
        <f>IF(AND(B41="",D41=""),"",IF(D41="","⚠ Escolha o tema",IF(COUNTIF('1. Temas'!$C$8:$C$37,D41)=0,"⚠ Tema não cadastrado","✔ OK")))</f>
        <v/>
      </c>
    </row>
    <row r="42">
      <c r="B42" s="40" t="inlineStr">
        <is>
          <t>CH-1035</t>
        </is>
      </c>
      <c r="C42" s="41" t="n">
        <v>46270</v>
      </c>
      <c r="D42" s="42" t="inlineStr">
        <is>
          <t>Falha de acesso / senha</t>
        </is>
      </c>
      <c r="E42" s="42" t="inlineStr">
        <is>
          <t>Usuário bloqueado após troca de senha (cenário fictício)</t>
        </is>
      </c>
      <c r="F42" s="43">
        <f>IF(AND(B42="",D42=""),"",IF(D42="","⚠ Escolha o tema",IF(COUNTIF('1. Temas'!$C$8:$C$37,D42)=0,"⚠ Tema não cadastrado","✔ OK")))</f>
        <v/>
      </c>
    </row>
    <row r="43">
      <c r="B43" s="40" t="inlineStr">
        <is>
          <t>CH-1036</t>
        </is>
      </c>
      <c r="C43" s="41" t="n">
        <v>46271</v>
      </c>
      <c r="D43" s="42" t="inlineStr">
        <is>
          <t>VPN / acesso remoto</t>
        </is>
      </c>
      <c r="E43" s="42" t="inlineStr">
        <is>
          <t>VPN cai ao conectar de casa (cenário fictício)</t>
        </is>
      </c>
      <c r="F43" s="43">
        <f>IF(AND(B43="",D43=""),"",IF(D43="","⚠ Escolha o tema",IF(COUNTIF('1. Temas'!$C$8:$C$37,D43)=0,"⚠ Tema não cadastrado","✔ OK")))</f>
        <v/>
      </c>
    </row>
    <row r="44">
      <c r="B44" s="40" t="inlineStr">
        <is>
          <t>CH-1037</t>
        </is>
      </c>
      <c r="C44" s="41" t="n">
        <v>46272</v>
      </c>
      <c r="D44" s="42" t="inlineStr">
        <is>
          <t>Erro ao emitir relatório</t>
        </is>
      </c>
      <c r="E44" s="42" t="inlineStr">
        <is>
          <t>Relatório mensal não gera (cenário fictício)</t>
        </is>
      </c>
      <c r="F44" s="43">
        <f>IF(AND(B44="",D44=""),"",IF(D44="","⚠ Escolha o tema",IF(COUNTIF('1. Temas'!$C$8:$C$37,D44)=0,"⚠ Tema não cadastrado","✔ OK")))</f>
        <v/>
      </c>
    </row>
    <row r="45">
      <c r="B45" s="40" t="inlineStr">
        <is>
          <t>CH-1038</t>
        </is>
      </c>
      <c r="C45" s="41" t="n">
        <v>46273</v>
      </c>
      <c r="D45" s="42" t="inlineStr">
        <is>
          <t>E-mail</t>
        </is>
      </c>
      <c r="E45" s="42" t="inlineStr">
        <is>
          <t>E-mail não chega para cliente (cenário fictício)</t>
        </is>
      </c>
      <c r="F45" s="43">
        <f>IF(AND(B45="",D45=""),"",IF(D45="","⚠ Escolha o tema",IF(COUNTIF('1. Temas'!$C$8:$C$37,D45)=0,"⚠ Tema não cadastrado","✔ OK")))</f>
        <v/>
      </c>
    </row>
    <row r="46">
      <c r="B46" s="40" t="inlineStr">
        <is>
          <t>CH-1039</t>
        </is>
      </c>
      <c r="C46" s="41" t="n">
        <v>46274</v>
      </c>
      <c r="D46" s="42" t="inlineStr">
        <is>
          <t>Falha de acesso / senha</t>
        </is>
      </c>
      <c r="E46" s="42" t="inlineStr">
        <is>
          <t>Usuário bloqueado após troca de senha (cenário fictício)</t>
        </is>
      </c>
      <c r="F46" s="43">
        <f>IF(AND(B46="",D46=""),"",IF(D46="","⚠ Escolha o tema",IF(COUNTIF('1. Temas'!$C$8:$C$37,D46)=0,"⚠ Tema não cadastrado","✔ OK")))</f>
        <v/>
      </c>
    </row>
    <row r="47">
      <c r="B47" s="40" t="inlineStr">
        <is>
          <t>CH-1040</t>
        </is>
      </c>
      <c r="C47" s="41" t="n">
        <v>46275</v>
      </c>
      <c r="D47" s="42" t="inlineStr">
        <is>
          <t>Falha de acesso / senha</t>
        </is>
      </c>
      <c r="E47" s="42" t="inlineStr">
        <is>
          <t>Usuário bloqueado após troca de senha (cenário fictício)</t>
        </is>
      </c>
      <c r="F47" s="43">
        <f>IF(AND(B47="",D47=""),"",IF(D47="","⚠ Escolha o tema",IF(COUNTIF('1. Temas'!$C$8:$C$37,D47)=0,"⚠ Tema não cadastrado","✔ OK")))</f>
        <v/>
      </c>
    </row>
    <row r="48">
      <c r="B48" s="40" t="inlineStr">
        <is>
          <t>CH-1041</t>
        </is>
      </c>
      <c r="C48" s="41" t="n">
        <v>46276</v>
      </c>
      <c r="D48" s="42" t="inlineStr">
        <is>
          <t>Lentidão no sistema</t>
        </is>
      </c>
      <c r="E48" s="42" t="inlineStr">
        <is>
          <t>Sistema lento no início do expediente (cenário fictício)</t>
        </is>
      </c>
      <c r="F48" s="43">
        <f>IF(AND(B48="",D48=""),"",IF(D48="","⚠ Escolha o tema",IF(COUNTIF('1. Temas'!$C$8:$C$37,D48)=0,"⚠ Tema não cadastrado","✔ OK")))</f>
        <v/>
      </c>
    </row>
    <row r="49">
      <c r="B49" s="40" t="inlineStr">
        <is>
          <t>CH-1042</t>
        </is>
      </c>
      <c r="C49" s="41" t="n">
        <v>46277</v>
      </c>
      <c r="D49" s="42" t="inlineStr">
        <is>
          <t>Lentidão no sistema</t>
        </is>
      </c>
      <c r="E49" s="42" t="inlineStr">
        <is>
          <t>Sistema lento no início do expediente (cenário fictício)</t>
        </is>
      </c>
      <c r="F49" s="43">
        <f>IF(AND(B49="",D49=""),"",IF(D49="","⚠ Escolha o tema",IF(COUNTIF('1. Temas'!$C$8:$C$37,D49)=0,"⚠ Tema não cadastrado","✔ OK")))</f>
        <v/>
      </c>
    </row>
    <row r="50">
      <c r="B50" s="40" t="inlineStr">
        <is>
          <t>CH-1043</t>
        </is>
      </c>
      <c r="C50" s="41" t="n">
        <v>46278</v>
      </c>
      <c r="D50" s="42" t="inlineStr">
        <is>
          <t>Erro ao emitir relatório</t>
        </is>
      </c>
      <c r="E50" s="42" t="inlineStr">
        <is>
          <t>Relatório mensal não gera (cenário fictício)</t>
        </is>
      </c>
      <c r="F50" s="43">
        <f>IF(AND(B50="",D50=""),"",IF(D50="","⚠ Escolha o tema",IF(COUNTIF('1. Temas'!$C$8:$C$37,D50)=0,"⚠ Tema não cadastrado","✔ OK")))</f>
        <v/>
      </c>
    </row>
    <row r="51">
      <c r="B51" s="40" t="inlineStr">
        <is>
          <t>CH-1044</t>
        </is>
      </c>
      <c r="C51" s="41" t="n">
        <v>46279</v>
      </c>
      <c r="D51" s="42" t="inlineStr">
        <is>
          <t>VPN / acesso remoto</t>
        </is>
      </c>
      <c r="E51" s="42" t="inlineStr">
        <is>
          <t>VPN cai ao conectar de casa (cenário fictício)</t>
        </is>
      </c>
      <c r="F51" s="43">
        <f>IF(AND(B51="",D51=""),"",IF(D51="","⚠ Escolha o tema",IF(COUNTIF('1. Temas'!$C$8:$C$37,D51)=0,"⚠ Tema não cadastrado","✔ OK")))</f>
        <v/>
      </c>
    </row>
    <row r="52">
      <c r="B52" s="40" t="inlineStr">
        <is>
          <t>CH-1045</t>
        </is>
      </c>
      <c r="C52" s="41" t="n">
        <v>46280</v>
      </c>
      <c r="D52" s="42" t="inlineStr">
        <is>
          <t>Instalação de programa</t>
        </is>
      </c>
      <c r="E52" s="42" t="inlineStr">
        <is>
          <t>Pedido de instalação de leitor de PDF (cenário fictício)</t>
        </is>
      </c>
      <c r="F52" s="43">
        <f>IF(AND(B52="",D52=""),"",IF(D52="","⚠ Escolha o tema",IF(COUNTIF('1. Temas'!$C$8:$C$37,D52)=0,"⚠ Tema não cadastrado","✔ OK")))</f>
        <v/>
      </c>
    </row>
    <row r="53">
      <c r="B53" s="40" t="inlineStr">
        <is>
          <t>CH-1046</t>
        </is>
      </c>
      <c r="C53" s="41" t="n">
        <v>46281</v>
      </c>
      <c r="D53" s="42" t="inlineStr">
        <is>
          <t>Falha de acesso / senha</t>
        </is>
      </c>
      <c r="E53" s="42" t="inlineStr">
        <is>
          <t>Usuário bloqueado após troca de senha (cenário fictício)</t>
        </is>
      </c>
      <c r="F53" s="43">
        <f>IF(AND(B53="",D53=""),"",IF(D53="","⚠ Escolha o tema",IF(COUNTIF('1. Temas'!$C$8:$C$37,D53)=0,"⚠ Tema não cadastrado","✔ OK")))</f>
        <v/>
      </c>
    </row>
    <row r="54">
      <c r="B54" s="40" t="inlineStr">
        <is>
          <t>CH-1047</t>
        </is>
      </c>
      <c r="C54" s="41" t="n">
        <v>46282</v>
      </c>
      <c r="D54" s="42" t="inlineStr">
        <is>
          <t>E-mail</t>
        </is>
      </c>
      <c r="E54" s="42" t="inlineStr">
        <is>
          <t>E-mail não chega para cliente (cenário fictício)</t>
        </is>
      </c>
      <c r="F54" s="43">
        <f>IF(AND(B54="",D54=""),"",IF(D54="","⚠ Escolha o tema",IF(COUNTIF('1. Temas'!$C$8:$C$37,D54)=0,"⚠ Tema não cadastrado","✔ OK")))</f>
        <v/>
      </c>
    </row>
    <row r="55">
      <c r="B55" s="40" t="inlineStr">
        <is>
          <t>CH-1048</t>
        </is>
      </c>
      <c r="C55" s="41" t="n">
        <v>46283</v>
      </c>
      <c r="D55" s="42" t="inlineStr">
        <is>
          <t>Falha de acesso / senha</t>
        </is>
      </c>
      <c r="E55" s="42" t="inlineStr">
        <is>
          <t>Usuário bloqueado após troca de senha (cenário fictício)</t>
        </is>
      </c>
      <c r="F55" s="43">
        <f>IF(AND(B55="",D55=""),"",IF(D55="","⚠ Escolha o tema",IF(COUNTIF('1. Temas'!$C$8:$C$37,D55)=0,"⚠ Tema não cadastrado","✔ OK")))</f>
        <v/>
      </c>
    </row>
    <row r="56">
      <c r="B56" s="40" t="inlineStr">
        <is>
          <t>CH-1049</t>
        </is>
      </c>
      <c r="C56" s="41" t="n">
        <v>46284</v>
      </c>
      <c r="D56" s="42" t="inlineStr">
        <is>
          <t>Falha de acesso / senha</t>
        </is>
      </c>
      <c r="E56" s="42" t="inlineStr">
        <is>
          <t>Usuário bloqueado após troca de senha (cenário fictício)</t>
        </is>
      </c>
      <c r="F56" s="43">
        <f>IF(AND(B56="",D56=""),"",IF(D56="","⚠ Escolha o tema",IF(COUNTIF('1. Temas'!$C$8:$C$37,D56)=0,"⚠ Tema não cadastrado","✔ OK")))</f>
        <v/>
      </c>
    </row>
    <row r="57">
      <c r="B57" s="40" t="inlineStr">
        <is>
          <t>CH-1050</t>
        </is>
      </c>
      <c r="C57" s="41" t="n">
        <v>46285</v>
      </c>
      <c r="D57" s="42" t="inlineStr">
        <is>
          <t>Falha de acesso / senha</t>
        </is>
      </c>
      <c r="E57" s="42" t="inlineStr">
        <is>
          <t>Usuário bloqueado após troca de senha (cenário fictício)</t>
        </is>
      </c>
      <c r="F57" s="43">
        <f>IF(AND(B57="",D57=""),"",IF(D57="","⚠ Escolha o tema",IF(COUNTIF('1. Temas'!$C$8:$C$37,D57)=0,"⚠ Tema não cadastrado","✔ OK")))</f>
        <v/>
      </c>
    </row>
    <row r="58">
      <c r="B58" s="40" t="inlineStr">
        <is>
          <t>CH-1051</t>
        </is>
      </c>
      <c r="C58" s="41" t="n">
        <v>46286</v>
      </c>
      <c r="D58" s="42" t="inlineStr">
        <is>
          <t>Acesso a pastas</t>
        </is>
      </c>
      <c r="E58" s="42" t="inlineStr">
        <is>
          <t>Acesso à pasta do financeiro (cenário fictício)</t>
        </is>
      </c>
      <c r="F58" s="43">
        <f>IF(AND(B58="",D58=""),"",IF(D58="","⚠ Escolha o tema",IF(COUNTIF('1. Temas'!$C$8:$C$37,D58)=0,"⚠ Tema não cadastrado","✔ OK")))</f>
        <v/>
      </c>
    </row>
    <row r="59">
      <c r="B59" s="40" t="inlineStr">
        <is>
          <t>CH-1052</t>
        </is>
      </c>
      <c r="C59" s="41" t="n">
        <v>46287</v>
      </c>
      <c r="D59" s="42" t="inlineStr">
        <is>
          <t>Falha de acesso / senha</t>
        </is>
      </c>
      <c r="E59" s="42" t="inlineStr">
        <is>
          <t>Usuário bloqueado após troca de senha (cenário fictício)</t>
        </is>
      </c>
      <c r="F59" s="43">
        <f>IF(AND(B59="",D59=""),"",IF(D59="","⚠ Escolha o tema",IF(COUNTIF('1. Temas'!$C$8:$C$37,D59)=0,"⚠ Tema não cadastrado","✔ OK")))</f>
        <v/>
      </c>
    </row>
    <row r="60">
      <c r="B60" s="40" t="inlineStr">
        <is>
          <t>CH-1053</t>
        </is>
      </c>
      <c r="C60" s="41" t="n">
        <v>46288</v>
      </c>
      <c r="D60" s="42" t="inlineStr">
        <is>
          <t>Lentidão no sistema</t>
        </is>
      </c>
      <c r="E60" s="42" t="inlineStr">
        <is>
          <t>Sistema lento no início do expediente (cenário fictício)</t>
        </is>
      </c>
      <c r="F60" s="43">
        <f>IF(AND(B60="",D60=""),"",IF(D60="","⚠ Escolha o tema",IF(COUNTIF('1. Temas'!$C$8:$C$37,D60)=0,"⚠ Tema não cadastrado","✔ OK")))</f>
        <v/>
      </c>
    </row>
    <row r="61">
      <c r="B61" s="40" t="inlineStr">
        <is>
          <t>CH-1054</t>
        </is>
      </c>
      <c r="C61" s="41" t="n">
        <v>46289</v>
      </c>
      <c r="D61" s="42" t="inlineStr">
        <is>
          <t>Lentidão no sistema</t>
        </is>
      </c>
      <c r="E61" s="42" t="inlineStr">
        <is>
          <t>Sistema lento no início do expediente (cenário fictício)</t>
        </is>
      </c>
      <c r="F61" s="43">
        <f>IF(AND(B61="",D61=""),"",IF(D61="","⚠ Escolha o tema",IF(COUNTIF('1. Temas'!$C$8:$C$37,D61)=0,"⚠ Tema não cadastrado","✔ OK")))</f>
        <v/>
      </c>
    </row>
    <row r="62">
      <c r="B62" s="40" t="inlineStr">
        <is>
          <t>CH-1055</t>
        </is>
      </c>
      <c r="C62" s="41" t="n">
        <v>46290</v>
      </c>
      <c r="D62" s="42" t="inlineStr">
        <is>
          <t>Lentidão no sistema</t>
        </is>
      </c>
      <c r="E62" s="42" t="inlineStr">
        <is>
          <t>Sistema lento no início do expediente (cenário fictício)</t>
        </is>
      </c>
      <c r="F62" s="43">
        <f>IF(AND(B62="",D62=""),"",IF(D62="","⚠ Escolha o tema",IF(COUNTIF('1. Temas'!$C$8:$C$37,D62)=0,"⚠ Tema não cadastrado","✔ OK")))</f>
        <v/>
      </c>
    </row>
    <row r="63">
      <c r="B63" s="40" t="inlineStr">
        <is>
          <t>CH-1056</t>
        </is>
      </c>
      <c r="C63" s="41" t="n">
        <v>46291</v>
      </c>
      <c r="D63" s="42" t="inlineStr">
        <is>
          <t>Lentidão no sistema</t>
        </is>
      </c>
      <c r="E63" s="42" t="inlineStr">
        <is>
          <t>Sistema lento no início do expediente (cenário fictício)</t>
        </is>
      </c>
      <c r="F63" s="43">
        <f>IF(AND(B63="",D63=""),"",IF(D63="","⚠ Escolha o tema",IF(COUNTIF('1. Temas'!$C$8:$C$37,D63)=0,"⚠ Tema não cadastrado","✔ OK")))</f>
        <v/>
      </c>
    </row>
    <row r="64">
      <c r="B64" s="40" t="inlineStr">
        <is>
          <t>CH-1057</t>
        </is>
      </c>
      <c r="C64" s="41" t="n">
        <v>46292</v>
      </c>
      <c r="D64" s="42" t="inlineStr">
        <is>
          <t>Lentidão no sistema</t>
        </is>
      </c>
      <c r="E64" s="42" t="inlineStr">
        <is>
          <t>Sistema lento no início do expediente (cenário fictício)</t>
        </is>
      </c>
      <c r="F64" s="43">
        <f>IF(AND(B64="",D64=""),"",IF(D64="","⚠ Escolha o tema",IF(COUNTIF('1. Temas'!$C$8:$C$37,D64)=0,"⚠ Tema não cadastrado","✔ OK")))</f>
        <v/>
      </c>
    </row>
    <row r="65">
      <c r="B65" s="40" t="inlineStr">
        <is>
          <t>CH-1058</t>
        </is>
      </c>
      <c r="C65" s="41" t="n">
        <v>46293</v>
      </c>
      <c r="D65" s="42" t="inlineStr">
        <is>
          <t>Falha de acesso / senha</t>
        </is>
      </c>
      <c r="E65" s="42" t="inlineStr">
        <is>
          <t>Usuário bloqueado após troca de senha (cenário fictício)</t>
        </is>
      </c>
      <c r="F65" s="43">
        <f>IF(AND(B65="",D65=""),"",IF(D65="","⚠ Escolha o tema",IF(COUNTIF('1. Temas'!$C$8:$C$37,D65)=0,"⚠ Tema não cadastrado","✔ OK")))</f>
        <v/>
      </c>
    </row>
    <row r="66">
      <c r="B66" s="40" t="inlineStr">
        <is>
          <t>CH-1059</t>
        </is>
      </c>
      <c r="C66" s="41" t="n">
        <v>46294</v>
      </c>
      <c r="D66" s="42" t="inlineStr">
        <is>
          <t>Lentidão no sistema</t>
        </is>
      </c>
      <c r="E66" s="42" t="inlineStr">
        <is>
          <t>Sistema lento no início do expediente (cenário fictício)</t>
        </is>
      </c>
      <c r="F66" s="43">
        <f>IF(AND(B66="",D66=""),"",IF(D66="","⚠ Escolha o tema",IF(COUNTIF('1. Temas'!$C$8:$C$37,D66)=0,"⚠ Tema não cadastrado","✔ OK")))</f>
        <v/>
      </c>
    </row>
    <row r="67">
      <c r="B67" s="40" t="inlineStr">
        <is>
          <t>CH-1060</t>
        </is>
      </c>
      <c r="C67" s="41" t="n">
        <v>46295</v>
      </c>
      <c r="D67" s="42" t="inlineStr">
        <is>
          <t>Acesso a pastas</t>
        </is>
      </c>
      <c r="E67" s="42" t="inlineStr">
        <is>
          <t>Acesso à pasta do financeiro (cenário fictício)</t>
        </is>
      </c>
      <c r="F67" s="43">
        <f>IF(AND(B67="",D67=""),"",IF(D67="","⚠ Escolha o tema",IF(COUNTIF('1. Temas'!$C$8:$C$37,D67)=0,"⚠ Tema não cadastrado","✔ OK")))</f>
        <v/>
      </c>
    </row>
    <row r="68">
      <c r="B68" s="40" t="inlineStr">
        <is>
          <t>CH-1061</t>
        </is>
      </c>
      <c r="C68" s="41" t="n">
        <v>46266</v>
      </c>
      <c r="D68" s="42" t="inlineStr">
        <is>
          <t>Lentidão no sistema</t>
        </is>
      </c>
      <c r="E68" s="42" t="inlineStr">
        <is>
          <t>Sistema lento no início do expediente (cenário fictício)</t>
        </is>
      </c>
      <c r="F68" s="43">
        <f>IF(AND(B68="",D68=""),"",IF(D68="","⚠ Escolha o tema",IF(COUNTIF('1. Temas'!$C$8:$C$37,D68)=0,"⚠ Tema não cadastrado","✔ OK")))</f>
        <v/>
      </c>
    </row>
    <row r="69">
      <c r="B69" s="40" t="inlineStr">
        <is>
          <t>CH-1062</t>
        </is>
      </c>
      <c r="C69" s="41" t="n">
        <v>46267</v>
      </c>
      <c r="D69" s="42" t="inlineStr">
        <is>
          <t>Erro ao emitir relatório</t>
        </is>
      </c>
      <c r="E69" s="42" t="inlineStr">
        <is>
          <t>Relatório mensal não gera (cenário fictício)</t>
        </is>
      </c>
      <c r="F69" s="43">
        <f>IF(AND(B69="",D69=""),"",IF(D69="","⚠ Escolha o tema",IF(COUNTIF('1. Temas'!$C$8:$C$37,D69)=0,"⚠ Tema não cadastrado","✔ OK")))</f>
        <v/>
      </c>
    </row>
    <row r="70">
      <c r="B70" s="40" t="inlineStr">
        <is>
          <t>CH-1063</t>
        </is>
      </c>
      <c r="C70" s="41" t="n">
        <v>46268</v>
      </c>
      <c r="D70" s="42" t="inlineStr">
        <is>
          <t>Lentidão no sistema</t>
        </is>
      </c>
      <c r="E70" s="42" t="inlineStr">
        <is>
          <t>Sistema lento no início do expediente (cenário fictício)</t>
        </is>
      </c>
      <c r="F70" s="43">
        <f>IF(AND(B70="",D70=""),"",IF(D70="","⚠ Escolha o tema",IF(COUNTIF('1. Temas'!$C$8:$C$37,D70)=0,"⚠ Tema não cadastrado","✔ OK")))</f>
        <v/>
      </c>
    </row>
    <row r="71">
      <c r="B71" s="40" t="inlineStr">
        <is>
          <t>CH-1064</t>
        </is>
      </c>
      <c r="C71" s="41" t="n">
        <v>46269</v>
      </c>
      <c r="D71" s="42" t="inlineStr">
        <is>
          <t>Falha de acesso / senha</t>
        </is>
      </c>
      <c r="E71" s="42" t="inlineStr">
        <is>
          <t>Usuário bloqueado após troca de senha (cenário fictício)</t>
        </is>
      </c>
      <c r="F71" s="43">
        <f>IF(AND(B71="",D71=""),"",IF(D71="","⚠ Escolha o tema",IF(COUNTIF('1. Temas'!$C$8:$C$37,D71)=0,"⚠ Tema não cadastrado","✔ OK")))</f>
        <v/>
      </c>
    </row>
    <row r="72">
      <c r="B72" s="40" t="inlineStr">
        <is>
          <t>CH-1065</t>
        </is>
      </c>
      <c r="C72" s="41" t="n">
        <v>46270</v>
      </c>
      <c r="D72" s="42" t="inlineStr">
        <is>
          <t>Falha de acesso / senha</t>
        </is>
      </c>
      <c r="E72" s="42" t="inlineStr">
        <is>
          <t>Usuário bloqueado após troca de senha (cenário fictício)</t>
        </is>
      </c>
      <c r="F72" s="43">
        <f>IF(AND(B72="",D72=""),"",IF(D72="","⚠ Escolha o tema",IF(COUNTIF('1. Temas'!$C$8:$C$37,D72)=0,"⚠ Tema não cadastrado","✔ OK")))</f>
        <v/>
      </c>
    </row>
    <row r="73">
      <c r="B73" s="40" t="inlineStr">
        <is>
          <t>CH-1066</t>
        </is>
      </c>
      <c r="C73" s="41" t="n">
        <v>46271</v>
      </c>
      <c r="D73" s="42" t="inlineStr">
        <is>
          <t>Erro ao emitir relatório</t>
        </is>
      </c>
      <c r="E73" s="42" t="inlineStr">
        <is>
          <t>Relatório mensal não gera (cenário fictício)</t>
        </is>
      </c>
      <c r="F73" s="43">
        <f>IF(AND(B73="",D73=""),"",IF(D73="","⚠ Escolha o tema",IF(COUNTIF('1. Temas'!$C$8:$C$37,D73)=0,"⚠ Tema não cadastrado","✔ OK")))</f>
        <v/>
      </c>
    </row>
    <row r="74">
      <c r="B74" s="40" t="inlineStr">
        <is>
          <t>CH-1067</t>
        </is>
      </c>
      <c r="C74" s="41" t="n">
        <v>46272</v>
      </c>
      <c r="D74" s="42" t="inlineStr">
        <is>
          <t>Falha de acesso / senha</t>
        </is>
      </c>
      <c r="E74" s="42" t="inlineStr">
        <is>
          <t>Usuário bloqueado após troca de senha (cenário fictício)</t>
        </is>
      </c>
      <c r="F74" s="43">
        <f>IF(AND(B74="",D74=""),"",IF(D74="","⚠ Escolha o tema",IF(COUNTIF('1. Temas'!$C$8:$C$37,D74)=0,"⚠ Tema não cadastrado","✔ OK")))</f>
        <v/>
      </c>
    </row>
    <row r="75">
      <c r="B75" s="40" t="inlineStr">
        <is>
          <t>CH-1068</t>
        </is>
      </c>
      <c r="C75" s="41" t="n">
        <v>46273</v>
      </c>
      <c r="D75" s="42" t="inlineStr">
        <is>
          <t>Erro ao emitir relatório</t>
        </is>
      </c>
      <c r="E75" s="42" t="inlineStr">
        <is>
          <t>Relatório mensal não gera (cenário fictício)</t>
        </is>
      </c>
      <c r="F75" s="43">
        <f>IF(AND(B75="",D75=""),"",IF(D75="","⚠ Escolha o tema",IF(COUNTIF('1. Temas'!$C$8:$C$37,D75)=0,"⚠ Tema não cadastrado","✔ OK")))</f>
        <v/>
      </c>
    </row>
    <row r="76">
      <c r="B76" s="40" t="inlineStr">
        <is>
          <t>CH-1069</t>
        </is>
      </c>
      <c r="C76" s="41" t="n">
        <v>46274</v>
      </c>
      <c r="D76" s="42" t="inlineStr">
        <is>
          <t>Falha de acesso / senha</t>
        </is>
      </c>
      <c r="E76" s="42" t="inlineStr">
        <is>
          <t>Usuário bloqueado após troca de senha (cenário fictício)</t>
        </is>
      </c>
      <c r="F76" s="43">
        <f>IF(AND(B76="",D76=""),"",IF(D76="","⚠ Escolha o tema",IF(COUNTIF('1. Temas'!$C$8:$C$37,D76)=0,"⚠ Tema não cadastrado","✔ OK")))</f>
        <v/>
      </c>
    </row>
    <row r="77">
      <c r="B77" s="40" t="inlineStr">
        <is>
          <t>CH-1070</t>
        </is>
      </c>
      <c r="C77" s="41" t="n">
        <v>46275</v>
      </c>
      <c r="D77" s="42" t="inlineStr">
        <is>
          <t>Lentidão no sistema</t>
        </is>
      </c>
      <c r="E77" s="42" t="inlineStr">
        <is>
          <t>Sistema lento no início do expediente (cenário fictício)</t>
        </is>
      </c>
      <c r="F77" s="43">
        <f>IF(AND(B77="",D77=""),"",IF(D77="","⚠ Escolha o tema",IF(COUNTIF('1. Temas'!$C$8:$C$37,D77)=0,"⚠ Tema não cadastrado","✔ OK")))</f>
        <v/>
      </c>
    </row>
    <row r="78">
      <c r="B78" s="40" t="inlineStr">
        <is>
          <t>CH-1071</t>
        </is>
      </c>
      <c r="C78" s="41" t="n">
        <v>46276</v>
      </c>
      <c r="D78" s="42" t="inlineStr">
        <is>
          <t>Erro ao emitir relatório</t>
        </is>
      </c>
      <c r="E78" s="42" t="inlineStr">
        <is>
          <t>Relatório mensal não gera (cenário fictício)</t>
        </is>
      </c>
      <c r="F78" s="43">
        <f>IF(AND(B78="",D78=""),"",IF(D78="","⚠ Escolha o tema",IF(COUNTIF('1. Temas'!$C$8:$C$37,D78)=0,"⚠ Tema não cadastrado","✔ OK")))</f>
        <v/>
      </c>
    </row>
    <row r="79">
      <c r="B79" s="40" t="inlineStr">
        <is>
          <t>CH-1072</t>
        </is>
      </c>
      <c r="C79" s="41" t="n">
        <v>46277</v>
      </c>
      <c r="D79" s="42" t="inlineStr">
        <is>
          <t>Falha de acesso / senha</t>
        </is>
      </c>
      <c r="E79" s="42" t="inlineStr">
        <is>
          <t>Usuário bloqueado após troca de senha (cenário fictício)</t>
        </is>
      </c>
      <c r="F79" s="43">
        <f>IF(AND(B79="",D79=""),"",IF(D79="","⚠ Escolha o tema",IF(COUNTIF('1. Temas'!$C$8:$C$37,D79)=0,"⚠ Tema não cadastrado","✔ OK")))</f>
        <v/>
      </c>
    </row>
    <row r="80">
      <c r="B80" s="40" t="inlineStr">
        <is>
          <t>CH-1073</t>
        </is>
      </c>
      <c r="C80" s="41" t="n">
        <v>46278</v>
      </c>
      <c r="D80" s="42" t="inlineStr">
        <is>
          <t>Falha de acesso / senha</t>
        </is>
      </c>
      <c r="E80" s="42" t="inlineStr">
        <is>
          <t>Usuário bloqueado após troca de senha (cenário fictício)</t>
        </is>
      </c>
      <c r="F80" s="43">
        <f>IF(AND(B80="",D80=""),"",IF(D80="","⚠ Escolha o tema",IF(COUNTIF('1. Temas'!$C$8:$C$37,D80)=0,"⚠ Tema não cadastrado","✔ OK")))</f>
        <v/>
      </c>
    </row>
    <row r="81">
      <c r="B81" s="40" t="inlineStr">
        <is>
          <t>CH-1074</t>
        </is>
      </c>
      <c r="C81" s="41" t="n">
        <v>46279</v>
      </c>
      <c r="D81" s="42" t="inlineStr">
        <is>
          <t>Erro ao emitir relatório</t>
        </is>
      </c>
      <c r="E81" s="42" t="inlineStr">
        <is>
          <t>Relatório mensal não gera (cenário fictício)</t>
        </is>
      </c>
      <c r="F81" s="43">
        <f>IF(AND(B81="",D81=""),"",IF(D81="","⚠ Escolha o tema",IF(COUNTIF('1. Temas'!$C$8:$C$37,D81)=0,"⚠ Tema não cadastrado","✔ OK")))</f>
        <v/>
      </c>
    </row>
    <row r="82">
      <c r="B82" s="40" t="inlineStr">
        <is>
          <t>CH-1075</t>
        </is>
      </c>
      <c r="C82" s="41" t="n">
        <v>46280</v>
      </c>
      <c r="D82" s="42" t="inlineStr">
        <is>
          <t>Lentidão no sistema</t>
        </is>
      </c>
      <c r="E82" s="42" t="inlineStr">
        <is>
          <t>Sistema lento no início do expediente (cenário fictício)</t>
        </is>
      </c>
      <c r="F82" s="43">
        <f>IF(AND(B82="",D82=""),"",IF(D82="","⚠ Escolha o tema",IF(COUNTIF('1. Temas'!$C$8:$C$37,D82)=0,"⚠ Tema não cadastrado","✔ OK")))</f>
        <v/>
      </c>
    </row>
    <row r="83">
      <c r="B83" s="40" t="inlineStr">
        <is>
          <t>CH-1076</t>
        </is>
      </c>
      <c r="C83" s="41" t="n">
        <v>46281</v>
      </c>
      <c r="D83" s="42" t="inlineStr">
        <is>
          <t>Lentidão no sistema</t>
        </is>
      </c>
      <c r="E83" s="42" t="inlineStr">
        <is>
          <t>Sistema lento no início do expediente (cenário fictício)</t>
        </is>
      </c>
      <c r="F83" s="43">
        <f>IF(AND(B83="",D83=""),"",IF(D83="","⚠ Escolha o tema",IF(COUNTIF('1. Temas'!$C$8:$C$37,D83)=0,"⚠ Tema não cadastrado","✔ OK")))</f>
        <v/>
      </c>
    </row>
    <row r="84">
      <c r="B84" s="40" t="inlineStr">
        <is>
          <t>CH-1077</t>
        </is>
      </c>
      <c r="C84" s="41" t="n">
        <v>46282</v>
      </c>
      <c r="D84" s="42" t="inlineStr">
        <is>
          <t>VPN / acesso remoto</t>
        </is>
      </c>
      <c r="E84" s="42" t="inlineStr">
        <is>
          <t>VPN cai ao conectar de casa (cenário fictício)</t>
        </is>
      </c>
      <c r="F84" s="43">
        <f>IF(AND(B84="",D84=""),"",IF(D84="","⚠ Escolha o tema",IF(COUNTIF('1. Temas'!$C$8:$C$37,D84)=0,"⚠ Tema não cadastrado","✔ OK")))</f>
        <v/>
      </c>
    </row>
    <row r="85">
      <c r="B85" s="40" t="inlineStr">
        <is>
          <t>CH-1078</t>
        </is>
      </c>
      <c r="C85" s="41" t="n">
        <v>46283</v>
      </c>
      <c r="D85" s="42" t="inlineStr">
        <is>
          <t>Erro ao emitir relatório</t>
        </is>
      </c>
      <c r="E85" s="42" t="inlineStr">
        <is>
          <t>Relatório mensal não gera (cenário fictício)</t>
        </is>
      </c>
      <c r="F85" s="43">
        <f>IF(AND(B85="",D85=""),"",IF(D85="","⚠ Escolha o tema",IF(COUNTIF('1. Temas'!$C$8:$C$37,D85)=0,"⚠ Tema não cadastrado","✔ OK")))</f>
        <v/>
      </c>
    </row>
    <row r="86">
      <c r="B86" s="40" t="inlineStr">
        <is>
          <t>CH-1079</t>
        </is>
      </c>
      <c r="C86" s="41" t="n">
        <v>46284</v>
      </c>
      <c r="D86" s="42" t="inlineStr">
        <is>
          <t>Lentidão no sistema</t>
        </is>
      </c>
      <c r="E86" s="42" t="inlineStr">
        <is>
          <t>Sistema lento no início do expediente (cenário fictício)</t>
        </is>
      </c>
      <c r="F86" s="43">
        <f>IF(AND(B86="",D86=""),"",IF(D86="","⚠ Escolha o tema",IF(COUNTIF('1. Temas'!$C$8:$C$37,D86)=0,"⚠ Tema não cadastrado","✔ OK")))</f>
        <v/>
      </c>
    </row>
    <row r="87">
      <c r="B87" s="40" t="inlineStr">
        <is>
          <t>CH-1080</t>
        </is>
      </c>
      <c r="C87" s="41" t="n">
        <v>46285</v>
      </c>
      <c r="D87" s="42" t="inlineStr">
        <is>
          <t>Falha de acesso / senha</t>
        </is>
      </c>
      <c r="E87" s="42" t="inlineStr">
        <is>
          <t>Usuário bloqueado após troca de senha (cenário fictício)</t>
        </is>
      </c>
      <c r="F87" s="43">
        <f>IF(AND(B87="",D87=""),"",IF(D87="","⚠ Escolha o tema",IF(COUNTIF('1. Temas'!$C$8:$C$37,D87)=0,"⚠ Tema não cadastrado","✔ OK")))</f>
        <v/>
      </c>
    </row>
    <row r="88">
      <c r="B88" s="40" t="inlineStr">
        <is>
          <t>CH-1081</t>
        </is>
      </c>
      <c r="C88" s="41" t="n">
        <v>46286</v>
      </c>
      <c r="D88" s="42" t="inlineStr">
        <is>
          <t>Falha de acesso / senha</t>
        </is>
      </c>
      <c r="E88" s="42" t="inlineStr">
        <is>
          <t>Usuário bloqueado após troca de senha (cenário fictício)</t>
        </is>
      </c>
      <c r="F88" s="43">
        <f>IF(AND(B88="",D88=""),"",IF(D88="","⚠ Escolha o tema",IF(COUNTIF('1. Temas'!$C$8:$C$37,D88)=0,"⚠ Tema não cadastrado","✔ OK")))</f>
        <v/>
      </c>
    </row>
    <row r="89">
      <c r="B89" s="40" t="inlineStr">
        <is>
          <t>CH-1082</t>
        </is>
      </c>
      <c r="C89" s="41" t="n">
        <v>46287</v>
      </c>
      <c r="D89" s="42" t="inlineStr">
        <is>
          <t>Erro ao emitir relatório</t>
        </is>
      </c>
      <c r="E89" s="42" t="inlineStr">
        <is>
          <t>Relatório mensal não gera (cenário fictício)</t>
        </is>
      </c>
      <c r="F89" s="43">
        <f>IF(AND(B89="",D89=""),"",IF(D89="","⚠ Escolha o tema",IF(COUNTIF('1. Temas'!$C$8:$C$37,D89)=0,"⚠ Tema não cadastrado","✔ OK")))</f>
        <v/>
      </c>
    </row>
    <row r="90">
      <c r="B90" s="40" t="inlineStr">
        <is>
          <t>CH-1083</t>
        </is>
      </c>
      <c r="C90" s="41" t="n">
        <v>46288</v>
      </c>
      <c r="D90" s="42" t="inlineStr">
        <is>
          <t>Erro ao emitir relatório</t>
        </is>
      </c>
      <c r="E90" s="42" t="inlineStr">
        <is>
          <t>Relatório mensal não gera (cenário fictício)</t>
        </is>
      </c>
      <c r="F90" s="43">
        <f>IF(AND(B90="",D90=""),"",IF(D90="","⚠ Escolha o tema",IF(COUNTIF('1. Temas'!$C$8:$C$37,D90)=0,"⚠ Tema não cadastrado","✔ OK")))</f>
        <v/>
      </c>
    </row>
    <row r="91">
      <c r="B91" s="40" t="inlineStr">
        <is>
          <t>CH-1084</t>
        </is>
      </c>
      <c r="C91" s="41" t="n">
        <v>46289</v>
      </c>
      <c r="D91" s="42" t="inlineStr">
        <is>
          <t>Erro ao emitir relatório</t>
        </is>
      </c>
      <c r="E91" s="42" t="inlineStr">
        <is>
          <t>Relatório mensal não gera (cenário fictício)</t>
        </is>
      </c>
      <c r="F91" s="43">
        <f>IF(AND(B91="",D91=""),"",IF(D91="","⚠ Escolha o tema",IF(COUNTIF('1. Temas'!$C$8:$C$37,D91)=0,"⚠ Tema não cadastrado","✔ OK")))</f>
        <v/>
      </c>
    </row>
    <row r="92">
      <c r="B92" s="40" t="inlineStr">
        <is>
          <t>CH-1085</t>
        </is>
      </c>
      <c r="C92" s="41" t="n">
        <v>46290</v>
      </c>
      <c r="D92" s="42" t="inlineStr">
        <is>
          <t>Falha de acesso / senha</t>
        </is>
      </c>
      <c r="E92" s="42" t="inlineStr">
        <is>
          <t>Usuário bloqueado após troca de senha (cenário fictício)</t>
        </is>
      </c>
      <c r="F92" s="43">
        <f>IF(AND(B92="",D92=""),"",IF(D92="","⚠ Escolha o tema",IF(COUNTIF('1. Temas'!$C$8:$C$37,D92)=0,"⚠ Tema não cadastrado","✔ OK")))</f>
        <v/>
      </c>
    </row>
    <row r="93">
      <c r="B93" s="40" t="inlineStr">
        <is>
          <t>CH-1086</t>
        </is>
      </c>
      <c r="C93" s="41" t="n">
        <v>46291</v>
      </c>
      <c r="D93" s="42" t="inlineStr">
        <is>
          <t>Acesso a pastas</t>
        </is>
      </c>
      <c r="E93" s="42" t="inlineStr">
        <is>
          <t>Acesso à pasta do financeiro (cenário fictício)</t>
        </is>
      </c>
      <c r="F93" s="43">
        <f>IF(AND(B93="",D93=""),"",IF(D93="","⚠ Escolha o tema",IF(COUNTIF('1. Temas'!$C$8:$C$37,D93)=0,"⚠ Tema não cadastrado","✔ OK")))</f>
        <v/>
      </c>
    </row>
    <row r="94">
      <c r="B94" s="40" t="inlineStr">
        <is>
          <t>CH-1087</t>
        </is>
      </c>
      <c r="C94" s="41" t="n">
        <v>46292</v>
      </c>
      <c r="D94" s="42" t="inlineStr">
        <is>
          <t>Erro ao emitir relatório</t>
        </is>
      </c>
      <c r="E94" s="42" t="inlineStr">
        <is>
          <t>Relatório mensal não gera (cenário fictício)</t>
        </is>
      </c>
      <c r="F94" s="43">
        <f>IF(AND(B94="",D94=""),"",IF(D94="","⚠ Escolha o tema",IF(COUNTIF('1. Temas'!$C$8:$C$37,D94)=0,"⚠ Tema não cadastrado","✔ OK")))</f>
        <v/>
      </c>
    </row>
    <row r="95">
      <c r="B95" s="40" t="inlineStr">
        <is>
          <t>CH-1088</t>
        </is>
      </c>
      <c r="C95" s="41" t="n">
        <v>46293</v>
      </c>
      <c r="D95" s="42" t="inlineStr">
        <is>
          <t>Falha de acesso / senha</t>
        </is>
      </c>
      <c r="E95" s="42" t="inlineStr">
        <is>
          <t>Usuário bloqueado após troca de senha (cenário fictício)</t>
        </is>
      </c>
      <c r="F95" s="43">
        <f>IF(AND(B95="",D95=""),"",IF(D95="","⚠ Escolha o tema",IF(COUNTIF('1. Temas'!$C$8:$C$37,D95)=0,"⚠ Tema não cadastrado","✔ OK")))</f>
        <v/>
      </c>
    </row>
    <row r="96">
      <c r="B96" s="40" t="inlineStr">
        <is>
          <t>CH-1089</t>
        </is>
      </c>
      <c r="C96" s="41" t="n">
        <v>46294</v>
      </c>
      <c r="D96" s="42" t="inlineStr">
        <is>
          <t>Erro ao emitir relatório</t>
        </is>
      </c>
      <c r="E96" s="42" t="inlineStr">
        <is>
          <t>Relatório mensal não gera (cenário fictício)</t>
        </is>
      </c>
      <c r="F96" s="43">
        <f>IF(AND(B96="",D96=""),"",IF(D96="","⚠ Escolha o tema",IF(COUNTIF('1. Temas'!$C$8:$C$37,D96)=0,"⚠ Tema não cadastrado","✔ OK")))</f>
        <v/>
      </c>
    </row>
    <row r="97">
      <c r="B97" s="40" t="inlineStr">
        <is>
          <t>CH-1090</t>
        </is>
      </c>
      <c r="C97" s="41" t="n">
        <v>46295</v>
      </c>
      <c r="D97" s="42" t="inlineStr">
        <is>
          <t>Falha de acesso / senha</t>
        </is>
      </c>
      <c r="E97" s="42" t="inlineStr">
        <is>
          <t>Usuário bloqueado após troca de senha (cenário fictício)</t>
        </is>
      </c>
      <c r="F97" s="43">
        <f>IF(AND(B97="",D97=""),"",IF(D97="","⚠ Escolha o tema",IF(COUNTIF('1. Temas'!$C$8:$C$37,D97)=0,"⚠ Tema não cadastrado","✔ OK")))</f>
        <v/>
      </c>
    </row>
    <row r="98">
      <c r="B98" s="40" t="inlineStr">
        <is>
          <t>CH-1091</t>
        </is>
      </c>
      <c r="C98" s="41" t="n">
        <v>46266</v>
      </c>
      <c r="D98" s="42" t="inlineStr">
        <is>
          <t>Erro ao emitir relatório</t>
        </is>
      </c>
      <c r="E98" s="42" t="inlineStr">
        <is>
          <t>Relatório mensal não gera (cenário fictício)</t>
        </is>
      </c>
      <c r="F98" s="43">
        <f>IF(AND(B98="",D98=""),"",IF(D98="","⚠ Escolha o tema",IF(COUNTIF('1. Temas'!$C$8:$C$37,D98)=0,"⚠ Tema não cadastrado","✔ OK")))</f>
        <v/>
      </c>
    </row>
    <row r="99">
      <c r="B99" s="40" t="inlineStr">
        <is>
          <t>CH-1092</t>
        </is>
      </c>
      <c r="C99" s="41" t="n">
        <v>46267</v>
      </c>
      <c r="D99" s="42" t="inlineStr">
        <is>
          <t>Falha de acesso / senha</t>
        </is>
      </c>
      <c r="E99" s="42" t="inlineStr">
        <is>
          <t>Usuário bloqueado após troca de senha (cenário fictício)</t>
        </is>
      </c>
      <c r="F99" s="43">
        <f>IF(AND(B99="",D99=""),"",IF(D99="","⚠ Escolha o tema",IF(COUNTIF('1. Temas'!$C$8:$C$37,D99)=0,"⚠ Tema não cadastrado","✔ OK")))</f>
        <v/>
      </c>
    </row>
    <row r="100">
      <c r="B100" s="40" t="inlineStr">
        <is>
          <t>CH-1093</t>
        </is>
      </c>
      <c r="C100" s="41" t="n">
        <v>46268</v>
      </c>
      <c r="D100" s="42" t="inlineStr">
        <is>
          <t>Instalação de programa</t>
        </is>
      </c>
      <c r="E100" s="42" t="inlineStr">
        <is>
          <t>Pedido de instalação de leitor de PDF (cenário fictício)</t>
        </is>
      </c>
      <c r="F100" s="43">
        <f>IF(AND(B100="",D100=""),"",IF(D100="","⚠ Escolha o tema",IF(COUNTIF('1. Temas'!$C$8:$C$37,D100)=0,"⚠ Tema não cadastrado","✔ OK")))</f>
        <v/>
      </c>
    </row>
    <row r="101">
      <c r="B101" s="40" t="inlineStr">
        <is>
          <t>CH-1094</t>
        </is>
      </c>
      <c r="C101" s="41" t="n">
        <v>46269</v>
      </c>
      <c r="D101" s="42" t="inlineStr">
        <is>
          <t>Falha de acesso / senha</t>
        </is>
      </c>
      <c r="E101" s="42" t="inlineStr">
        <is>
          <t>Usuário bloqueado após troca de senha (cenário fictício)</t>
        </is>
      </c>
      <c r="F101" s="43">
        <f>IF(AND(B101="",D101=""),"",IF(D101="","⚠ Escolha o tema",IF(COUNTIF('1. Temas'!$C$8:$C$37,D101)=0,"⚠ Tema não cadastrado","✔ OK")))</f>
        <v/>
      </c>
    </row>
    <row r="102">
      <c r="B102" s="40" t="inlineStr">
        <is>
          <t>CH-1095</t>
        </is>
      </c>
      <c r="C102" s="41" t="n">
        <v>46270</v>
      </c>
      <c r="D102" s="42" t="inlineStr">
        <is>
          <t>Erro ao emitir relatório</t>
        </is>
      </c>
      <c r="E102" s="42" t="inlineStr">
        <is>
          <t>Relatório mensal não gera (cenário fictício)</t>
        </is>
      </c>
      <c r="F102" s="43">
        <f>IF(AND(B102="",D102=""),"",IF(D102="","⚠ Escolha o tema",IF(COUNTIF('1. Temas'!$C$8:$C$37,D102)=0,"⚠ Tema não cadastrado","✔ OK")))</f>
        <v/>
      </c>
    </row>
    <row r="103">
      <c r="B103" s="40" t="inlineStr">
        <is>
          <t>CH-1096</t>
        </is>
      </c>
      <c r="C103" s="41" t="n">
        <v>46271</v>
      </c>
      <c r="D103" s="42" t="inlineStr">
        <is>
          <t>Falha de acesso / senha</t>
        </is>
      </c>
      <c r="E103" s="42" t="inlineStr">
        <is>
          <t>Usuário bloqueado após troca de senha (cenário fictício)</t>
        </is>
      </c>
      <c r="F103" s="43">
        <f>IF(AND(B103="",D103=""),"",IF(D103="","⚠ Escolha o tema",IF(COUNTIF('1. Temas'!$C$8:$C$37,D103)=0,"⚠ Tema não cadastrado","✔ OK")))</f>
        <v/>
      </c>
    </row>
    <row r="104">
      <c r="B104" s="40" t="inlineStr">
        <is>
          <t>CH-1097</t>
        </is>
      </c>
      <c r="C104" s="41" t="n">
        <v>46272</v>
      </c>
      <c r="D104" s="42" t="inlineStr">
        <is>
          <t>Erro ao emitir relatório</t>
        </is>
      </c>
      <c r="E104" s="42" t="inlineStr">
        <is>
          <t>Relatório mensal não gera (cenário fictício)</t>
        </is>
      </c>
      <c r="F104" s="43">
        <f>IF(AND(B104="",D104=""),"",IF(D104="","⚠ Escolha o tema",IF(COUNTIF('1. Temas'!$C$8:$C$37,D104)=0,"⚠ Tema não cadastrado","✔ OK")))</f>
        <v/>
      </c>
    </row>
    <row r="105">
      <c r="B105" s="40" t="inlineStr">
        <is>
          <t>CH-1098</t>
        </is>
      </c>
      <c r="C105" s="41" t="n">
        <v>46273</v>
      </c>
      <c r="D105" s="42" t="inlineStr">
        <is>
          <t>Erro ao emitir relatório</t>
        </is>
      </c>
      <c r="E105" s="42" t="inlineStr">
        <is>
          <t>Relatório mensal não gera (cenário fictício)</t>
        </is>
      </c>
      <c r="F105" s="43">
        <f>IF(AND(B105="",D105=""),"",IF(D105="","⚠ Escolha o tema",IF(COUNTIF('1. Temas'!$C$8:$C$37,D105)=0,"⚠ Tema não cadastrado","✔ OK")))</f>
        <v/>
      </c>
    </row>
    <row r="106">
      <c r="B106" s="40" t="inlineStr">
        <is>
          <t>CH-1099</t>
        </is>
      </c>
      <c r="C106" s="41" t="n">
        <v>46274</v>
      </c>
      <c r="D106" s="42" t="inlineStr">
        <is>
          <t>Falha de acesso / senha</t>
        </is>
      </c>
      <c r="E106" s="42" t="inlineStr">
        <is>
          <t>Usuário bloqueado após troca de senha (cenário fictício)</t>
        </is>
      </c>
      <c r="F106" s="43">
        <f>IF(AND(B106="",D106=""),"",IF(D106="","⚠ Escolha o tema",IF(COUNTIF('1. Temas'!$C$8:$C$37,D106)=0,"⚠ Tema não cadastrado","✔ OK")))</f>
        <v/>
      </c>
    </row>
    <row r="107">
      <c r="B107" s="40" t="inlineStr">
        <is>
          <t>CH-1100</t>
        </is>
      </c>
      <c r="C107" s="41" t="n">
        <v>46275</v>
      </c>
      <c r="D107" s="42" t="inlineStr">
        <is>
          <t>Erro ao emitir relatório</t>
        </is>
      </c>
      <c r="E107" s="42" t="inlineStr">
        <is>
          <t>Relatório mensal não gera (cenário fictício)</t>
        </is>
      </c>
      <c r="F107" s="43">
        <f>IF(AND(B107="",D107=""),"",IF(D107="","⚠ Escolha o tema",IF(COUNTIF('1. Temas'!$C$8:$C$37,D107)=0,"⚠ Tema não cadastrado","✔ OK")))</f>
        <v/>
      </c>
    </row>
    <row r="108">
      <c r="B108" s="40" t="inlineStr">
        <is>
          <t>CH-1101</t>
        </is>
      </c>
      <c r="C108" s="41" t="n">
        <v>46276</v>
      </c>
      <c r="D108" s="42" t="inlineStr">
        <is>
          <t>Lentidão no sistema</t>
        </is>
      </c>
      <c r="E108" s="42" t="inlineStr">
        <is>
          <t>Sistema lento no início do expediente (cenário fictício)</t>
        </is>
      </c>
      <c r="F108" s="43">
        <f>IF(AND(B108="",D108=""),"",IF(D108="","⚠ Escolha o tema",IF(COUNTIF('1. Temas'!$C$8:$C$37,D108)=0,"⚠ Tema não cadastrado","✔ OK")))</f>
        <v/>
      </c>
    </row>
    <row r="109">
      <c r="B109" s="40" t="inlineStr">
        <is>
          <t>CH-1102</t>
        </is>
      </c>
      <c r="C109" s="41" t="n">
        <v>46277</v>
      </c>
      <c r="D109" s="42" t="inlineStr">
        <is>
          <t>Falha de acesso / senha</t>
        </is>
      </c>
      <c r="E109" s="42" t="inlineStr">
        <is>
          <t>Usuário bloqueado após troca de senha (cenário fictício)</t>
        </is>
      </c>
      <c r="F109" s="43">
        <f>IF(AND(B109="",D109=""),"",IF(D109="","⚠ Escolha o tema",IF(COUNTIF('1. Temas'!$C$8:$C$37,D109)=0,"⚠ Tema não cadastrado","✔ OK")))</f>
        <v/>
      </c>
    </row>
    <row r="110">
      <c r="B110" s="40" t="inlineStr">
        <is>
          <t>CH-1103</t>
        </is>
      </c>
      <c r="C110" s="41" t="n">
        <v>46278</v>
      </c>
      <c r="D110" s="42" t="inlineStr">
        <is>
          <t>Outros</t>
        </is>
      </c>
      <c r="E110" s="42" t="inlineStr">
        <is>
          <t>Dúvida sobre atalho de teclado (cenário fictício)</t>
        </is>
      </c>
      <c r="F110" s="43">
        <f>IF(AND(B110="",D110=""),"",IF(D110="","⚠ Escolha o tema",IF(COUNTIF('1. Temas'!$C$8:$C$37,D110)=0,"⚠ Tema não cadastrado","✔ OK")))</f>
        <v/>
      </c>
    </row>
    <row r="111">
      <c r="B111" s="40" t="inlineStr">
        <is>
          <t>CH-1104</t>
        </is>
      </c>
      <c r="C111" s="41" t="n">
        <v>46279</v>
      </c>
      <c r="D111" s="42" t="inlineStr">
        <is>
          <t>Falha de acesso / senha</t>
        </is>
      </c>
      <c r="E111" s="42" t="inlineStr">
        <is>
          <t>Usuário bloqueado após troca de senha (cenário fictício)</t>
        </is>
      </c>
      <c r="F111" s="43">
        <f>IF(AND(B111="",D111=""),"",IF(D111="","⚠ Escolha o tema",IF(COUNTIF('1. Temas'!$C$8:$C$37,D111)=0,"⚠ Tema não cadastrado","✔ OK")))</f>
        <v/>
      </c>
    </row>
    <row r="112">
      <c r="B112" s="40" t="inlineStr">
        <is>
          <t>CH-1105</t>
        </is>
      </c>
      <c r="C112" s="41" t="n">
        <v>46280</v>
      </c>
      <c r="D112" s="42" t="inlineStr">
        <is>
          <t>Telefone / ramal</t>
        </is>
      </c>
      <c r="E112" s="42" t="inlineStr">
        <is>
          <t>Ramal sem linha (cenário fictício)</t>
        </is>
      </c>
      <c r="F112" s="43">
        <f>IF(AND(B112="",D112=""),"",IF(D112="","⚠ Escolha o tema",IF(COUNTIF('1. Temas'!$C$8:$C$37,D112)=0,"⚠ Tema não cadastrado","✔ OK")))</f>
        <v/>
      </c>
    </row>
    <row r="113">
      <c r="B113" s="40" t="inlineStr">
        <is>
          <t>CH-1106</t>
        </is>
      </c>
      <c r="C113" s="41" t="n">
        <v>46281</v>
      </c>
      <c r="D113" s="42" t="inlineStr">
        <is>
          <t>Falha de acesso / senha</t>
        </is>
      </c>
      <c r="E113" s="42" t="inlineStr">
        <is>
          <t>Usuário bloqueado após troca de senha (cenário fictício)</t>
        </is>
      </c>
      <c r="F113" s="43">
        <f>IF(AND(B113="",D113=""),"",IF(D113="","⚠ Escolha o tema",IF(COUNTIF('1. Temas'!$C$8:$C$37,D113)=0,"⚠ Tema não cadastrado","✔ OK")))</f>
        <v/>
      </c>
    </row>
    <row r="114">
      <c r="B114" s="40" t="inlineStr">
        <is>
          <t>CH-1107</t>
        </is>
      </c>
      <c r="C114" s="41" t="n">
        <v>46282</v>
      </c>
      <c r="D114" s="42" t="inlineStr">
        <is>
          <t>Falha de acesso / senha</t>
        </is>
      </c>
      <c r="E114" s="42" t="inlineStr">
        <is>
          <t>Usuário bloqueado após troca de senha (cenário fictício)</t>
        </is>
      </c>
      <c r="F114" s="43">
        <f>IF(AND(B114="",D114=""),"",IF(D114="","⚠ Escolha o tema",IF(COUNTIF('1. Temas'!$C$8:$C$37,D114)=0,"⚠ Tema não cadastrado","✔ OK")))</f>
        <v/>
      </c>
    </row>
    <row r="115">
      <c r="B115" s="40" t="inlineStr">
        <is>
          <t>CH-1108</t>
        </is>
      </c>
      <c r="C115" s="41" t="n">
        <v>46283</v>
      </c>
      <c r="D115" s="42" t="inlineStr">
        <is>
          <t>Falha de acesso / senha</t>
        </is>
      </c>
      <c r="E115" s="42" t="inlineStr">
        <is>
          <t>Usuário bloqueado após troca de senha (cenário fictício)</t>
        </is>
      </c>
      <c r="F115" s="43">
        <f>IF(AND(B115="",D115=""),"",IF(D115="","⚠ Escolha o tema",IF(COUNTIF('1. Temas'!$C$8:$C$37,D115)=0,"⚠ Tema não cadastrado","✔ OK")))</f>
        <v/>
      </c>
    </row>
    <row r="116">
      <c r="B116" s="40" t="inlineStr">
        <is>
          <t>CH-1109</t>
        </is>
      </c>
      <c r="C116" s="41" t="n">
        <v>46284</v>
      </c>
      <c r="D116" s="42" t="inlineStr">
        <is>
          <t>Erro ao emitir relatório</t>
        </is>
      </c>
      <c r="E116" s="42" t="inlineStr">
        <is>
          <t>Relatório mensal não gera (cenário fictício)</t>
        </is>
      </c>
      <c r="F116" s="43">
        <f>IF(AND(B116="",D116=""),"",IF(D116="","⚠ Escolha o tema",IF(COUNTIF('1. Temas'!$C$8:$C$37,D116)=0,"⚠ Tema não cadastrado","✔ OK")))</f>
        <v/>
      </c>
    </row>
    <row r="117">
      <c r="B117" s="40" t="inlineStr">
        <is>
          <t>CH-1110</t>
        </is>
      </c>
      <c r="C117" s="41" t="n">
        <v>46285</v>
      </c>
      <c r="D117" s="42" t="inlineStr">
        <is>
          <t>Lentidão no sistema</t>
        </is>
      </c>
      <c r="E117" s="42" t="inlineStr">
        <is>
          <t>Sistema lento no início do expediente (cenário fictício)</t>
        </is>
      </c>
      <c r="F117" s="43">
        <f>IF(AND(B117="",D117=""),"",IF(D117="","⚠ Escolha o tema",IF(COUNTIF('1. Temas'!$C$8:$C$37,D117)=0,"⚠ Tema não cadastrado","✔ OK")))</f>
        <v/>
      </c>
    </row>
    <row r="118">
      <c r="B118" s="40" t="inlineStr">
        <is>
          <t>CH-1111</t>
        </is>
      </c>
      <c r="C118" s="41" t="n">
        <v>46286</v>
      </c>
      <c r="D118" s="42" t="inlineStr">
        <is>
          <t>Falha de acesso / senha</t>
        </is>
      </c>
      <c r="E118" s="42" t="inlineStr">
        <is>
          <t>Usuário bloqueado após troca de senha (cenário fictício)</t>
        </is>
      </c>
      <c r="F118" s="43">
        <f>IF(AND(B118="",D118=""),"",IF(D118="","⚠ Escolha o tema",IF(COUNTIF('1. Temas'!$C$8:$C$37,D118)=0,"⚠ Tema não cadastrado","✔ OK")))</f>
        <v/>
      </c>
    </row>
    <row r="119">
      <c r="B119" s="40" t="inlineStr">
        <is>
          <t>CH-1112</t>
        </is>
      </c>
      <c r="C119" s="41" t="n">
        <v>46287</v>
      </c>
      <c r="D119" s="42" t="inlineStr">
        <is>
          <t>Erro ao emitir relatório</t>
        </is>
      </c>
      <c r="E119" s="42" t="inlineStr">
        <is>
          <t>Relatório mensal não gera (cenário fictício)</t>
        </is>
      </c>
      <c r="F119" s="43">
        <f>IF(AND(B119="",D119=""),"",IF(D119="","⚠ Escolha o tema",IF(COUNTIF('1. Temas'!$C$8:$C$37,D119)=0,"⚠ Tema não cadastrado","✔ OK")))</f>
        <v/>
      </c>
    </row>
    <row r="120">
      <c r="B120" s="40" t="inlineStr">
        <is>
          <t>CH-1113</t>
        </is>
      </c>
      <c r="C120" s="41" t="n">
        <v>46288</v>
      </c>
      <c r="D120" s="42" t="inlineStr">
        <is>
          <t>Falha de acesso / senha</t>
        </is>
      </c>
      <c r="E120" s="42" t="inlineStr">
        <is>
          <t>Usuário bloqueado após troca de senha (cenário fictício)</t>
        </is>
      </c>
      <c r="F120" s="43">
        <f>IF(AND(B120="",D120=""),"",IF(D120="","⚠ Escolha o tema",IF(COUNTIF('1. Temas'!$C$8:$C$37,D120)=0,"⚠ Tema não cadastrado","✔ OK")))</f>
        <v/>
      </c>
    </row>
    <row r="121">
      <c r="B121" s="40" t="inlineStr">
        <is>
          <t>CH-1114</t>
        </is>
      </c>
      <c r="C121" s="41" t="n">
        <v>46289</v>
      </c>
      <c r="D121" s="42" t="inlineStr">
        <is>
          <t>Impressora</t>
        </is>
      </c>
      <c r="E121" s="42" t="inlineStr">
        <is>
          <t>Impressora do 2º andar sem imprimir (cenário fictício)</t>
        </is>
      </c>
      <c r="F121" s="43">
        <f>IF(AND(B121="",D121=""),"",IF(D121="","⚠ Escolha o tema",IF(COUNTIF('1. Temas'!$C$8:$C$37,D121)=0,"⚠ Tema não cadastrado","✔ OK")))</f>
        <v/>
      </c>
    </row>
    <row r="122">
      <c r="B122" s="40" t="inlineStr">
        <is>
          <t>CH-1115</t>
        </is>
      </c>
      <c r="C122" s="41" t="n">
        <v>46290</v>
      </c>
      <c r="D122" s="42" t="inlineStr">
        <is>
          <t>Erro ao emitir relatório</t>
        </is>
      </c>
      <c r="E122" s="42" t="inlineStr">
        <is>
          <t>Relatório mensal não gera (cenário fictício)</t>
        </is>
      </c>
      <c r="F122" s="43">
        <f>IF(AND(B122="",D122=""),"",IF(D122="","⚠ Escolha o tema",IF(COUNTIF('1. Temas'!$C$8:$C$37,D122)=0,"⚠ Tema não cadastrado","✔ OK")))</f>
        <v/>
      </c>
    </row>
    <row r="123">
      <c r="B123" s="40" t="inlineStr">
        <is>
          <t>CH-1116</t>
        </is>
      </c>
      <c r="C123" s="41" t="n">
        <v>46291</v>
      </c>
      <c r="D123" s="42" t="inlineStr">
        <is>
          <t>Lentidão no sistema</t>
        </is>
      </c>
      <c r="E123" s="42" t="inlineStr">
        <is>
          <t>Sistema lento no início do expediente (cenário fictício)</t>
        </is>
      </c>
      <c r="F123" s="43">
        <f>IF(AND(B123="",D123=""),"",IF(D123="","⚠ Escolha o tema",IF(COUNTIF('1. Temas'!$C$8:$C$37,D123)=0,"⚠ Tema não cadastrado","✔ OK")))</f>
        <v/>
      </c>
    </row>
    <row r="124">
      <c r="B124" s="40" t="inlineStr">
        <is>
          <t>CH-1117</t>
        </is>
      </c>
      <c r="C124" s="41" t="n">
        <v>46292</v>
      </c>
      <c r="D124" s="42" t="inlineStr">
        <is>
          <t>Erro ao emitir relatório</t>
        </is>
      </c>
      <c r="E124" s="42" t="inlineStr">
        <is>
          <t>Relatório mensal não gera (cenário fictício)</t>
        </is>
      </c>
      <c r="F124" s="43">
        <f>IF(AND(B124="",D124=""),"",IF(D124="","⚠ Escolha o tema",IF(COUNTIF('1. Temas'!$C$8:$C$37,D124)=0,"⚠ Tema não cadastrado","✔ OK")))</f>
        <v/>
      </c>
    </row>
    <row r="125">
      <c r="B125" s="40" t="inlineStr">
        <is>
          <t>CH-1118</t>
        </is>
      </c>
      <c r="C125" s="41" t="n">
        <v>46293</v>
      </c>
      <c r="D125" s="42" t="inlineStr">
        <is>
          <t>Erro ao emitir relatório</t>
        </is>
      </c>
      <c r="E125" s="42" t="inlineStr">
        <is>
          <t>Relatório mensal não gera (cenário fictício)</t>
        </is>
      </c>
      <c r="F125" s="43">
        <f>IF(AND(B125="",D125=""),"",IF(D125="","⚠ Escolha o tema",IF(COUNTIF('1. Temas'!$C$8:$C$37,D125)=0,"⚠ Tema não cadastrado","✔ OK")))</f>
        <v/>
      </c>
    </row>
    <row r="126">
      <c r="B126" s="40" t="inlineStr">
        <is>
          <t>CH-1119</t>
        </is>
      </c>
      <c r="C126" s="41" t="n">
        <v>46294</v>
      </c>
      <c r="D126" s="42" t="inlineStr">
        <is>
          <t>Falha de acesso / senha</t>
        </is>
      </c>
      <c r="E126" s="42" t="inlineStr">
        <is>
          <t>Usuário bloqueado após troca de senha (cenário fictício)</t>
        </is>
      </c>
      <c r="F126" s="43">
        <f>IF(AND(B126="",D126=""),"",IF(D126="","⚠ Escolha o tema",IF(COUNTIF('1. Temas'!$C$8:$C$37,D126)=0,"⚠ Tema não cadastrado","✔ OK")))</f>
        <v/>
      </c>
    </row>
    <row r="127">
      <c r="B127" s="40" t="inlineStr">
        <is>
          <t>CH-1120</t>
        </is>
      </c>
      <c r="C127" s="41" t="n">
        <v>46295</v>
      </c>
      <c r="D127" s="42" t="inlineStr">
        <is>
          <t>Erro ao emitir relatório</t>
        </is>
      </c>
      <c r="E127" s="42" t="inlineStr">
        <is>
          <t>Relatório mensal não gera (cenário fictício)</t>
        </is>
      </c>
      <c r="F127" s="43">
        <f>IF(AND(B127="",D127=""),"",IF(D127="","⚠ Escolha o tema",IF(COUNTIF('1. Temas'!$C$8:$C$37,D127)=0,"⚠ Tema não cadastrado","✔ OK")))</f>
        <v/>
      </c>
    </row>
    <row r="128">
      <c r="B128" s="40" t="inlineStr">
        <is>
          <t>CH-1121</t>
        </is>
      </c>
      <c r="C128" s="41" t="n">
        <v>46266</v>
      </c>
      <c r="D128" s="42" t="inlineStr">
        <is>
          <t>Falha de acesso / senha</t>
        </is>
      </c>
      <c r="E128" s="42" t="inlineStr">
        <is>
          <t>Usuário bloqueado após troca de senha (cenário fictício)</t>
        </is>
      </c>
      <c r="F128" s="43">
        <f>IF(AND(B128="",D128=""),"",IF(D128="","⚠ Escolha o tema",IF(COUNTIF('1. Temas'!$C$8:$C$37,D128)=0,"⚠ Tema não cadastrado","✔ OK")))</f>
        <v/>
      </c>
    </row>
    <row r="129">
      <c r="B129" s="40" t="inlineStr">
        <is>
          <t>CH-1122</t>
        </is>
      </c>
      <c r="C129" s="41" t="n">
        <v>46267</v>
      </c>
      <c r="D129" s="42" t="inlineStr">
        <is>
          <t>Erro ao emitir relatório</t>
        </is>
      </c>
      <c r="E129" s="42" t="inlineStr">
        <is>
          <t>Relatório mensal não gera (cenário fictício)</t>
        </is>
      </c>
      <c r="F129" s="43">
        <f>IF(AND(B129="",D129=""),"",IF(D129="","⚠ Escolha o tema",IF(COUNTIF('1. Temas'!$C$8:$C$37,D129)=0,"⚠ Tema não cadastrado","✔ OK")))</f>
        <v/>
      </c>
    </row>
    <row r="130">
      <c r="B130" s="40" t="inlineStr">
        <is>
          <t>CH-1123</t>
        </is>
      </c>
      <c r="C130" s="41" t="n">
        <v>46268</v>
      </c>
      <c r="D130" s="42" t="inlineStr">
        <is>
          <t>Erro ao emitir relatório</t>
        </is>
      </c>
      <c r="E130" s="42" t="inlineStr">
        <is>
          <t>Relatório mensal não gera (cenário fictício)</t>
        </is>
      </c>
      <c r="F130" s="43">
        <f>IF(AND(B130="",D130=""),"",IF(D130="","⚠ Escolha o tema",IF(COUNTIF('1. Temas'!$C$8:$C$37,D130)=0,"⚠ Tema não cadastrado","✔ OK")))</f>
        <v/>
      </c>
    </row>
    <row r="131">
      <c r="B131" s="40" t="inlineStr">
        <is>
          <t>CH-1124</t>
        </is>
      </c>
      <c r="C131" s="41" t="n">
        <v>46269</v>
      </c>
      <c r="D131" s="42" t="inlineStr">
        <is>
          <t>Impressora</t>
        </is>
      </c>
      <c r="E131" s="42" t="inlineStr">
        <is>
          <t>Impressora do 2º andar sem imprimir (cenário fictício)</t>
        </is>
      </c>
      <c r="F131" s="43">
        <f>IF(AND(B131="",D131=""),"",IF(D131="","⚠ Escolha o tema",IF(COUNTIF('1. Temas'!$C$8:$C$37,D131)=0,"⚠ Tema não cadastrado","✔ OK")))</f>
        <v/>
      </c>
    </row>
    <row r="132">
      <c r="B132" s="40" t="inlineStr">
        <is>
          <t>CH-1125</t>
        </is>
      </c>
      <c r="C132" s="41" t="n">
        <v>46270</v>
      </c>
      <c r="D132" s="42" t="inlineStr">
        <is>
          <t>Lentidão no sistema</t>
        </is>
      </c>
      <c r="E132" s="42" t="inlineStr">
        <is>
          <t>Sistema lento no início do expediente (cenário fictício)</t>
        </is>
      </c>
      <c r="F132" s="43">
        <f>IF(AND(B132="",D132=""),"",IF(D132="","⚠ Escolha o tema",IF(COUNTIF('1. Temas'!$C$8:$C$37,D132)=0,"⚠ Tema não cadastrado","✔ OK")))</f>
        <v/>
      </c>
    </row>
    <row r="133">
      <c r="B133" s="40" t="inlineStr">
        <is>
          <t>CH-1126</t>
        </is>
      </c>
      <c r="C133" s="41" t="n">
        <v>46271</v>
      </c>
      <c r="D133" s="42" t="inlineStr">
        <is>
          <t>Erro ao emitir relatório</t>
        </is>
      </c>
      <c r="E133" s="42" t="inlineStr">
        <is>
          <t>Relatório mensal não gera (cenário fictício)</t>
        </is>
      </c>
      <c r="F133" s="43">
        <f>IF(AND(B133="",D133=""),"",IF(D133="","⚠ Escolha o tema",IF(COUNTIF('1. Temas'!$C$8:$C$37,D133)=0,"⚠ Tema não cadastrado","✔ OK")))</f>
        <v/>
      </c>
    </row>
    <row r="134">
      <c r="B134" s="40" t="inlineStr">
        <is>
          <t>CH-1127</t>
        </is>
      </c>
      <c r="C134" s="41" t="n">
        <v>46272</v>
      </c>
      <c r="D134" s="42" t="inlineStr">
        <is>
          <t>Falha de acesso / senha</t>
        </is>
      </c>
      <c r="E134" s="42" t="inlineStr">
        <is>
          <t>Usuário bloqueado após troca de senha (cenário fictício)</t>
        </is>
      </c>
      <c r="F134" s="43">
        <f>IF(AND(B134="",D134=""),"",IF(D134="","⚠ Escolha o tema",IF(COUNTIF('1. Temas'!$C$8:$C$37,D134)=0,"⚠ Tema não cadastrado","✔ OK")))</f>
        <v/>
      </c>
    </row>
    <row r="135">
      <c r="B135" s="40" t="inlineStr">
        <is>
          <t>CH-1128</t>
        </is>
      </c>
      <c r="C135" s="41" t="n">
        <v>46273</v>
      </c>
      <c r="D135" s="42" t="inlineStr">
        <is>
          <t>Falha de acesso / senha</t>
        </is>
      </c>
      <c r="E135" s="42" t="inlineStr">
        <is>
          <t>Usuário bloqueado após troca de senha (cenário fictício)</t>
        </is>
      </c>
      <c r="F135" s="43">
        <f>IF(AND(B135="",D135=""),"",IF(D135="","⚠ Escolha o tema",IF(COUNTIF('1. Temas'!$C$8:$C$37,D135)=0,"⚠ Tema não cadastrado","✔ OK")))</f>
        <v/>
      </c>
    </row>
    <row r="136">
      <c r="B136" s="40" t="inlineStr">
        <is>
          <t>CH-1129</t>
        </is>
      </c>
      <c r="C136" s="41" t="n">
        <v>46274</v>
      </c>
      <c r="D136" s="42" t="inlineStr">
        <is>
          <t>Erro ao emitir relatório</t>
        </is>
      </c>
      <c r="E136" s="42" t="inlineStr">
        <is>
          <t>Relatório mensal não gera (cenário fictício)</t>
        </is>
      </c>
      <c r="F136" s="43">
        <f>IF(AND(B136="",D136=""),"",IF(D136="","⚠ Escolha o tema",IF(COUNTIF('1. Temas'!$C$8:$C$37,D136)=0,"⚠ Tema não cadastrado","✔ OK")))</f>
        <v/>
      </c>
    </row>
    <row r="137">
      <c r="B137" s="40" t="inlineStr">
        <is>
          <t>CH-1130</t>
        </is>
      </c>
      <c r="C137" s="41" t="n">
        <v>46275</v>
      </c>
      <c r="D137" s="42" t="inlineStr">
        <is>
          <t>Impressora</t>
        </is>
      </c>
      <c r="E137" s="42" t="inlineStr">
        <is>
          <t>Impressora do 2º andar sem imprimir (cenário fictício)</t>
        </is>
      </c>
      <c r="F137" s="43">
        <f>IF(AND(B137="",D137=""),"",IF(D137="","⚠ Escolha o tema",IF(COUNTIF('1. Temas'!$C$8:$C$37,D137)=0,"⚠ Tema não cadastrado","✔ OK")))</f>
        <v/>
      </c>
    </row>
    <row r="138">
      <c r="B138" s="40" t="inlineStr">
        <is>
          <t>CH-1131</t>
        </is>
      </c>
      <c r="C138" s="41" t="n">
        <v>46276</v>
      </c>
      <c r="D138" s="42" t="inlineStr">
        <is>
          <t>Falha de acesso / senha</t>
        </is>
      </c>
      <c r="E138" s="42" t="inlineStr">
        <is>
          <t>Usuário bloqueado após troca de senha (cenário fictício)</t>
        </is>
      </c>
      <c r="F138" s="43">
        <f>IF(AND(B138="",D138=""),"",IF(D138="","⚠ Escolha o tema",IF(COUNTIF('1. Temas'!$C$8:$C$37,D138)=0,"⚠ Tema não cadastrado","✔ OK")))</f>
        <v/>
      </c>
    </row>
    <row r="139">
      <c r="B139" s="40" t="inlineStr">
        <is>
          <t>CH-1132</t>
        </is>
      </c>
      <c r="C139" s="41" t="n">
        <v>46277</v>
      </c>
      <c r="D139" s="42" t="inlineStr">
        <is>
          <t>Telefone / ramal</t>
        </is>
      </c>
      <c r="E139" s="42" t="inlineStr">
        <is>
          <t>Ramal sem linha (cenário fictício)</t>
        </is>
      </c>
      <c r="F139" s="43">
        <f>IF(AND(B139="",D139=""),"",IF(D139="","⚠ Escolha o tema",IF(COUNTIF('1. Temas'!$C$8:$C$37,D139)=0,"⚠ Tema não cadastrado","✔ OK")))</f>
        <v/>
      </c>
    </row>
    <row r="140">
      <c r="B140" s="40" t="inlineStr">
        <is>
          <t>CH-1133</t>
        </is>
      </c>
      <c r="C140" s="41" t="n">
        <v>46278</v>
      </c>
      <c r="D140" s="42" t="inlineStr">
        <is>
          <t>E-mail</t>
        </is>
      </c>
      <c r="E140" s="42" t="inlineStr">
        <is>
          <t>E-mail não chega para cliente (cenário fictício)</t>
        </is>
      </c>
      <c r="F140" s="43">
        <f>IF(AND(B140="",D140=""),"",IF(D140="","⚠ Escolha o tema",IF(COUNTIF('1. Temas'!$C$8:$C$37,D140)=0,"⚠ Tema não cadastrado","✔ OK")))</f>
        <v/>
      </c>
    </row>
    <row r="141">
      <c r="B141" s="40" t="inlineStr">
        <is>
          <t>CH-1134</t>
        </is>
      </c>
      <c r="C141" s="41" t="n">
        <v>46279</v>
      </c>
      <c r="D141" s="42" t="inlineStr">
        <is>
          <t>Instalação de programa</t>
        </is>
      </c>
      <c r="E141" s="42" t="inlineStr">
        <is>
          <t>Pedido de instalação de leitor de PDF (cenário fictício)</t>
        </is>
      </c>
      <c r="F141" s="43">
        <f>IF(AND(B141="",D141=""),"",IF(D141="","⚠ Escolha o tema",IF(COUNTIF('1. Temas'!$C$8:$C$37,D141)=0,"⚠ Tema não cadastrado","✔ OK")))</f>
        <v/>
      </c>
    </row>
    <row r="142">
      <c r="B142" s="40" t="inlineStr">
        <is>
          <t>CH-1135</t>
        </is>
      </c>
      <c r="C142" s="41" t="n">
        <v>46280</v>
      </c>
      <c r="D142" s="42" t="inlineStr">
        <is>
          <t>Falha de acesso / senha</t>
        </is>
      </c>
      <c r="E142" s="42" t="inlineStr">
        <is>
          <t>Usuário bloqueado após troca de senha (cenário fictício)</t>
        </is>
      </c>
      <c r="F142" s="43">
        <f>IF(AND(B142="",D142=""),"",IF(D142="","⚠ Escolha o tema",IF(COUNTIF('1. Temas'!$C$8:$C$37,D142)=0,"⚠ Tema não cadastrado","✔ OK")))</f>
        <v/>
      </c>
    </row>
    <row r="143">
      <c r="B143" s="40" t="inlineStr">
        <is>
          <t>CH-1136</t>
        </is>
      </c>
      <c r="C143" s="41" t="n">
        <v>46281</v>
      </c>
      <c r="D143" s="42" t="inlineStr">
        <is>
          <t>Falha de acesso / senha</t>
        </is>
      </c>
      <c r="E143" s="42" t="inlineStr">
        <is>
          <t>Usuário bloqueado após troca de senha (cenário fictício)</t>
        </is>
      </c>
      <c r="F143" s="43">
        <f>IF(AND(B143="",D143=""),"",IF(D143="","⚠ Escolha o tema",IF(COUNTIF('1. Temas'!$C$8:$C$37,D143)=0,"⚠ Tema não cadastrado","✔ OK")))</f>
        <v/>
      </c>
    </row>
    <row r="144">
      <c r="B144" s="40" t="inlineStr">
        <is>
          <t>CH-1137</t>
        </is>
      </c>
      <c r="C144" s="41" t="n">
        <v>46282</v>
      </c>
      <c r="D144" s="42" t="inlineStr">
        <is>
          <t>VPN / acesso remoto</t>
        </is>
      </c>
      <c r="E144" s="42" t="inlineStr">
        <is>
          <t>VPN cai ao conectar de casa (cenário fictício)</t>
        </is>
      </c>
      <c r="F144" s="43">
        <f>IF(AND(B144="",D144=""),"",IF(D144="","⚠ Escolha o tema",IF(COUNTIF('1. Temas'!$C$8:$C$37,D144)=0,"⚠ Tema não cadastrado","✔ OK")))</f>
        <v/>
      </c>
    </row>
    <row r="145">
      <c r="B145" s="40" t="inlineStr">
        <is>
          <t>CH-1138</t>
        </is>
      </c>
      <c r="C145" s="41" t="n">
        <v>46283</v>
      </c>
      <c r="D145" s="42" t="inlineStr">
        <is>
          <t>Outros</t>
        </is>
      </c>
      <c r="E145" s="42" t="inlineStr">
        <is>
          <t>Dúvida sobre atalho de teclado (cenário fictício)</t>
        </is>
      </c>
      <c r="F145" s="43">
        <f>IF(AND(B145="",D145=""),"",IF(D145="","⚠ Escolha o tema",IF(COUNTIF('1. Temas'!$C$8:$C$37,D145)=0,"⚠ Tema não cadastrado","✔ OK")))</f>
        <v/>
      </c>
    </row>
    <row r="146">
      <c r="B146" s="40" t="inlineStr">
        <is>
          <t>CH-1139</t>
        </is>
      </c>
      <c r="C146" s="41" t="n">
        <v>46284</v>
      </c>
      <c r="D146" s="42" t="inlineStr">
        <is>
          <t>E-mail</t>
        </is>
      </c>
      <c r="E146" s="42" t="inlineStr">
        <is>
          <t>E-mail não chega para cliente (cenário fictício)</t>
        </is>
      </c>
      <c r="F146" s="43">
        <f>IF(AND(B146="",D146=""),"",IF(D146="","⚠ Escolha o tema",IF(COUNTIF('1. Temas'!$C$8:$C$37,D146)=0,"⚠ Tema não cadastrado","✔ OK")))</f>
        <v/>
      </c>
    </row>
    <row r="147">
      <c r="B147" s="40" t="inlineStr">
        <is>
          <t>CH-1140</t>
        </is>
      </c>
      <c r="C147" s="41" t="n">
        <v>46285</v>
      </c>
      <c r="D147" s="42" t="inlineStr">
        <is>
          <t>Impressora</t>
        </is>
      </c>
      <c r="E147" s="42" t="inlineStr">
        <is>
          <t>Impressora do 2º andar sem imprimir (cenário fictício)</t>
        </is>
      </c>
      <c r="F147" s="43">
        <f>IF(AND(B147="",D147=""),"",IF(D147="","⚠ Escolha o tema",IF(COUNTIF('1. Temas'!$C$8:$C$37,D147)=0,"⚠ Tema não cadastrado","✔ OK")))</f>
        <v/>
      </c>
    </row>
    <row r="148">
      <c r="B148" s="40" t="n"/>
      <c r="C148" s="41" t="n"/>
      <c r="D148" s="42" t="n"/>
      <c r="E148" s="42" t="n"/>
      <c r="F148" s="43">
        <f>IF(AND(B148="",D148=""),"",IF(D148="","⚠ Escolha o tema",IF(COUNTIF('1. Temas'!$C$8:$C$37,D148)=0,"⚠ Tema não cadastrado","✔ OK")))</f>
        <v/>
      </c>
    </row>
    <row r="149">
      <c r="B149" s="40" t="n"/>
      <c r="C149" s="41" t="n"/>
      <c r="D149" s="42" t="n"/>
      <c r="E149" s="42" t="n"/>
      <c r="F149" s="43">
        <f>IF(AND(B149="",D149=""),"",IF(D149="","⚠ Escolha o tema",IF(COUNTIF('1. Temas'!$C$8:$C$37,D149)=0,"⚠ Tema não cadastrado","✔ OK")))</f>
        <v/>
      </c>
    </row>
    <row r="150">
      <c r="B150" s="40" t="n"/>
      <c r="C150" s="41" t="n"/>
      <c r="D150" s="42" t="n"/>
      <c r="E150" s="42" t="n"/>
      <c r="F150" s="43">
        <f>IF(AND(B150="",D150=""),"",IF(D150="","⚠ Escolha o tema",IF(COUNTIF('1. Temas'!$C$8:$C$37,D150)=0,"⚠ Tema não cadastrado","✔ OK")))</f>
        <v/>
      </c>
    </row>
    <row r="151">
      <c r="B151" s="40" t="n"/>
      <c r="C151" s="41" t="n"/>
      <c r="D151" s="42" t="n"/>
      <c r="E151" s="42" t="n"/>
      <c r="F151" s="43">
        <f>IF(AND(B151="",D151=""),"",IF(D151="","⚠ Escolha o tema",IF(COUNTIF('1. Temas'!$C$8:$C$37,D151)=0,"⚠ Tema não cadastrado","✔ OK")))</f>
        <v/>
      </c>
    </row>
    <row r="152">
      <c r="B152" s="40" t="n"/>
      <c r="C152" s="41" t="n"/>
      <c r="D152" s="42" t="n"/>
      <c r="E152" s="42" t="n"/>
      <c r="F152" s="43">
        <f>IF(AND(B152="",D152=""),"",IF(D152="","⚠ Escolha o tema",IF(COUNTIF('1. Temas'!$C$8:$C$37,D152)=0,"⚠ Tema não cadastrado","✔ OK")))</f>
        <v/>
      </c>
    </row>
    <row r="153">
      <c r="B153" s="40" t="n"/>
      <c r="C153" s="41" t="n"/>
      <c r="D153" s="42" t="n"/>
      <c r="E153" s="42" t="n"/>
      <c r="F153" s="43">
        <f>IF(AND(B153="",D153=""),"",IF(D153="","⚠ Escolha o tema",IF(COUNTIF('1. Temas'!$C$8:$C$37,D153)=0,"⚠ Tema não cadastrado","✔ OK")))</f>
        <v/>
      </c>
    </row>
    <row r="154">
      <c r="B154" s="40" t="n"/>
      <c r="C154" s="41" t="n"/>
      <c r="D154" s="42" t="n"/>
      <c r="E154" s="42" t="n"/>
      <c r="F154" s="43">
        <f>IF(AND(B154="",D154=""),"",IF(D154="","⚠ Escolha o tema",IF(COUNTIF('1. Temas'!$C$8:$C$37,D154)=0,"⚠ Tema não cadastrado","✔ OK")))</f>
        <v/>
      </c>
    </row>
    <row r="155">
      <c r="B155" s="40" t="n"/>
      <c r="C155" s="41" t="n"/>
      <c r="D155" s="42" t="n"/>
      <c r="E155" s="42" t="n"/>
      <c r="F155" s="43">
        <f>IF(AND(B155="",D155=""),"",IF(D155="","⚠ Escolha o tema",IF(COUNTIF('1. Temas'!$C$8:$C$37,D155)=0,"⚠ Tema não cadastrado","✔ OK")))</f>
        <v/>
      </c>
    </row>
    <row r="156">
      <c r="B156" s="40" t="n"/>
      <c r="C156" s="41" t="n"/>
      <c r="D156" s="42" t="n"/>
      <c r="E156" s="42" t="n"/>
      <c r="F156" s="43">
        <f>IF(AND(B156="",D156=""),"",IF(D156="","⚠ Escolha o tema",IF(COUNTIF('1. Temas'!$C$8:$C$37,D156)=0,"⚠ Tema não cadastrado","✔ OK")))</f>
        <v/>
      </c>
    </row>
    <row r="157">
      <c r="B157" s="40" t="n"/>
      <c r="C157" s="41" t="n"/>
      <c r="D157" s="42" t="n"/>
      <c r="E157" s="42" t="n"/>
      <c r="F157" s="43">
        <f>IF(AND(B157="",D157=""),"",IF(D157="","⚠ Escolha o tema",IF(COUNTIF('1. Temas'!$C$8:$C$37,D157)=0,"⚠ Tema não cadastrado","✔ OK")))</f>
        <v/>
      </c>
    </row>
    <row r="158">
      <c r="B158" s="40" t="n"/>
      <c r="C158" s="41" t="n"/>
      <c r="D158" s="42" t="n"/>
      <c r="E158" s="42" t="n"/>
      <c r="F158" s="43">
        <f>IF(AND(B158="",D158=""),"",IF(D158="","⚠ Escolha o tema",IF(COUNTIF('1. Temas'!$C$8:$C$37,D158)=0,"⚠ Tema não cadastrado","✔ OK")))</f>
        <v/>
      </c>
    </row>
    <row r="159">
      <c r="B159" s="40" t="n"/>
      <c r="C159" s="41" t="n"/>
      <c r="D159" s="42" t="n"/>
      <c r="E159" s="42" t="n"/>
      <c r="F159" s="43">
        <f>IF(AND(B159="",D159=""),"",IF(D159="","⚠ Escolha o tema",IF(COUNTIF('1. Temas'!$C$8:$C$37,D159)=0,"⚠ Tema não cadastrado","✔ OK")))</f>
        <v/>
      </c>
    </row>
    <row r="160">
      <c r="B160" s="40" t="n"/>
      <c r="C160" s="41" t="n"/>
      <c r="D160" s="42" t="n"/>
      <c r="E160" s="42" t="n"/>
      <c r="F160" s="43">
        <f>IF(AND(B160="",D160=""),"",IF(D160="","⚠ Escolha o tema",IF(COUNTIF('1. Temas'!$C$8:$C$37,D160)=0,"⚠ Tema não cadastrado","✔ OK")))</f>
        <v/>
      </c>
    </row>
    <row r="161">
      <c r="B161" s="40" t="n"/>
      <c r="C161" s="41" t="n"/>
      <c r="D161" s="42" t="n"/>
      <c r="E161" s="42" t="n"/>
      <c r="F161" s="43">
        <f>IF(AND(B161="",D161=""),"",IF(D161="","⚠ Escolha o tema",IF(COUNTIF('1. Temas'!$C$8:$C$37,D161)=0,"⚠ Tema não cadastrado","✔ OK")))</f>
        <v/>
      </c>
    </row>
    <row r="162">
      <c r="B162" s="40" t="n"/>
      <c r="C162" s="41" t="n"/>
      <c r="D162" s="42" t="n"/>
      <c r="E162" s="42" t="n"/>
      <c r="F162" s="43">
        <f>IF(AND(B162="",D162=""),"",IF(D162="","⚠ Escolha o tema",IF(COUNTIF('1. Temas'!$C$8:$C$37,D162)=0,"⚠ Tema não cadastrado","✔ OK")))</f>
        <v/>
      </c>
    </row>
    <row r="163">
      <c r="B163" s="40" t="n"/>
      <c r="C163" s="41" t="n"/>
      <c r="D163" s="42" t="n"/>
      <c r="E163" s="42" t="n"/>
      <c r="F163" s="43">
        <f>IF(AND(B163="",D163=""),"",IF(D163="","⚠ Escolha o tema",IF(COUNTIF('1. Temas'!$C$8:$C$37,D163)=0,"⚠ Tema não cadastrado","✔ OK")))</f>
        <v/>
      </c>
    </row>
    <row r="164">
      <c r="B164" s="40" t="n"/>
      <c r="C164" s="41" t="n"/>
      <c r="D164" s="42" t="n"/>
      <c r="E164" s="42" t="n"/>
      <c r="F164" s="43">
        <f>IF(AND(B164="",D164=""),"",IF(D164="","⚠ Escolha o tema",IF(COUNTIF('1. Temas'!$C$8:$C$37,D164)=0,"⚠ Tema não cadastrado","✔ OK")))</f>
        <v/>
      </c>
    </row>
    <row r="165">
      <c r="B165" s="40" t="n"/>
      <c r="C165" s="41" t="n"/>
      <c r="D165" s="42" t="n"/>
      <c r="E165" s="42" t="n"/>
      <c r="F165" s="43">
        <f>IF(AND(B165="",D165=""),"",IF(D165="","⚠ Escolha o tema",IF(COUNTIF('1. Temas'!$C$8:$C$37,D165)=0,"⚠ Tema não cadastrado","✔ OK")))</f>
        <v/>
      </c>
    </row>
    <row r="166">
      <c r="B166" s="40" t="n"/>
      <c r="C166" s="41" t="n"/>
      <c r="D166" s="42" t="n"/>
      <c r="E166" s="42" t="n"/>
      <c r="F166" s="43">
        <f>IF(AND(B166="",D166=""),"",IF(D166="","⚠ Escolha o tema",IF(COUNTIF('1. Temas'!$C$8:$C$37,D166)=0,"⚠ Tema não cadastrado","✔ OK")))</f>
        <v/>
      </c>
    </row>
    <row r="167">
      <c r="B167" s="40" t="n"/>
      <c r="C167" s="41" t="n"/>
      <c r="D167" s="42" t="n"/>
      <c r="E167" s="42" t="n"/>
      <c r="F167" s="43">
        <f>IF(AND(B167="",D167=""),"",IF(D167="","⚠ Escolha o tema",IF(COUNTIF('1. Temas'!$C$8:$C$37,D167)=0,"⚠ Tema não cadastrado","✔ OK")))</f>
        <v/>
      </c>
    </row>
    <row r="168">
      <c r="B168" s="40" t="n"/>
      <c r="C168" s="41" t="n"/>
      <c r="D168" s="42" t="n"/>
      <c r="E168" s="42" t="n"/>
      <c r="F168" s="43">
        <f>IF(AND(B168="",D168=""),"",IF(D168="","⚠ Escolha o tema",IF(COUNTIF('1. Temas'!$C$8:$C$37,D168)=0,"⚠ Tema não cadastrado","✔ OK")))</f>
        <v/>
      </c>
    </row>
    <row r="169">
      <c r="B169" s="40" t="n"/>
      <c r="C169" s="41" t="n"/>
      <c r="D169" s="42" t="n"/>
      <c r="E169" s="42" t="n"/>
      <c r="F169" s="43">
        <f>IF(AND(B169="",D169=""),"",IF(D169="","⚠ Escolha o tema",IF(COUNTIF('1. Temas'!$C$8:$C$37,D169)=0,"⚠ Tema não cadastrado","✔ OK")))</f>
        <v/>
      </c>
    </row>
    <row r="170">
      <c r="B170" s="40" t="n"/>
      <c r="C170" s="41" t="n"/>
      <c r="D170" s="42" t="n"/>
      <c r="E170" s="42" t="n"/>
      <c r="F170" s="43">
        <f>IF(AND(B170="",D170=""),"",IF(D170="","⚠ Escolha o tema",IF(COUNTIF('1. Temas'!$C$8:$C$37,D170)=0,"⚠ Tema não cadastrado","✔ OK")))</f>
        <v/>
      </c>
    </row>
    <row r="171">
      <c r="B171" s="40" t="n"/>
      <c r="C171" s="41" t="n"/>
      <c r="D171" s="42" t="n"/>
      <c r="E171" s="42" t="n"/>
      <c r="F171" s="43">
        <f>IF(AND(B171="",D171=""),"",IF(D171="","⚠ Escolha o tema",IF(COUNTIF('1. Temas'!$C$8:$C$37,D171)=0,"⚠ Tema não cadastrado","✔ OK")))</f>
        <v/>
      </c>
    </row>
    <row r="172">
      <c r="B172" s="40" t="n"/>
      <c r="C172" s="41" t="n"/>
      <c r="D172" s="42" t="n"/>
      <c r="E172" s="42" t="n"/>
      <c r="F172" s="43">
        <f>IF(AND(B172="",D172=""),"",IF(D172="","⚠ Escolha o tema",IF(COUNTIF('1. Temas'!$C$8:$C$37,D172)=0,"⚠ Tema não cadastrado","✔ OK")))</f>
        <v/>
      </c>
    </row>
    <row r="173">
      <c r="B173" s="40" t="n"/>
      <c r="C173" s="41" t="n"/>
      <c r="D173" s="42" t="n"/>
      <c r="E173" s="42" t="n"/>
      <c r="F173" s="43">
        <f>IF(AND(B173="",D173=""),"",IF(D173="","⚠ Escolha o tema",IF(COUNTIF('1. Temas'!$C$8:$C$37,D173)=0,"⚠ Tema não cadastrado","✔ OK")))</f>
        <v/>
      </c>
    </row>
    <row r="174">
      <c r="B174" s="40" t="n"/>
      <c r="C174" s="41" t="n"/>
      <c r="D174" s="42" t="n"/>
      <c r="E174" s="42" t="n"/>
      <c r="F174" s="43">
        <f>IF(AND(B174="",D174=""),"",IF(D174="","⚠ Escolha o tema",IF(COUNTIF('1. Temas'!$C$8:$C$37,D174)=0,"⚠ Tema não cadastrado","✔ OK")))</f>
        <v/>
      </c>
    </row>
    <row r="175">
      <c r="B175" s="40" t="n"/>
      <c r="C175" s="41" t="n"/>
      <c r="D175" s="42" t="n"/>
      <c r="E175" s="42" t="n"/>
      <c r="F175" s="43">
        <f>IF(AND(B175="",D175=""),"",IF(D175="","⚠ Escolha o tema",IF(COUNTIF('1. Temas'!$C$8:$C$37,D175)=0,"⚠ Tema não cadastrado","✔ OK")))</f>
        <v/>
      </c>
    </row>
    <row r="176">
      <c r="B176" s="40" t="n"/>
      <c r="C176" s="41" t="n"/>
      <c r="D176" s="42" t="n"/>
      <c r="E176" s="42" t="n"/>
      <c r="F176" s="43">
        <f>IF(AND(B176="",D176=""),"",IF(D176="","⚠ Escolha o tema",IF(COUNTIF('1. Temas'!$C$8:$C$37,D176)=0,"⚠ Tema não cadastrado","✔ OK")))</f>
        <v/>
      </c>
    </row>
    <row r="177">
      <c r="B177" s="40" t="n"/>
      <c r="C177" s="41" t="n"/>
      <c r="D177" s="42" t="n"/>
      <c r="E177" s="42" t="n"/>
      <c r="F177" s="43">
        <f>IF(AND(B177="",D177=""),"",IF(D177="","⚠ Escolha o tema",IF(COUNTIF('1. Temas'!$C$8:$C$37,D177)=0,"⚠ Tema não cadastrado","✔ OK")))</f>
        <v/>
      </c>
    </row>
    <row r="178">
      <c r="B178" s="40" t="n"/>
      <c r="C178" s="41" t="n"/>
      <c r="D178" s="42" t="n"/>
      <c r="E178" s="42" t="n"/>
      <c r="F178" s="43">
        <f>IF(AND(B178="",D178=""),"",IF(D178="","⚠ Escolha o tema",IF(COUNTIF('1. Temas'!$C$8:$C$37,D178)=0,"⚠ Tema não cadastrado","✔ OK")))</f>
        <v/>
      </c>
    </row>
    <row r="179">
      <c r="B179" s="40" t="n"/>
      <c r="C179" s="41" t="n"/>
      <c r="D179" s="42" t="n"/>
      <c r="E179" s="42" t="n"/>
      <c r="F179" s="43">
        <f>IF(AND(B179="",D179=""),"",IF(D179="","⚠ Escolha o tema",IF(COUNTIF('1. Temas'!$C$8:$C$37,D179)=0,"⚠ Tema não cadastrado","✔ OK")))</f>
        <v/>
      </c>
    </row>
    <row r="180">
      <c r="B180" s="40" t="n"/>
      <c r="C180" s="41" t="n"/>
      <c r="D180" s="42" t="n"/>
      <c r="E180" s="42" t="n"/>
      <c r="F180" s="43">
        <f>IF(AND(B180="",D180=""),"",IF(D180="","⚠ Escolha o tema",IF(COUNTIF('1. Temas'!$C$8:$C$37,D180)=0,"⚠ Tema não cadastrado","✔ OK")))</f>
        <v/>
      </c>
    </row>
    <row r="181">
      <c r="B181" s="40" t="n"/>
      <c r="C181" s="41" t="n"/>
      <c r="D181" s="42" t="n"/>
      <c r="E181" s="42" t="n"/>
      <c r="F181" s="43">
        <f>IF(AND(B181="",D181=""),"",IF(D181="","⚠ Escolha o tema",IF(COUNTIF('1. Temas'!$C$8:$C$37,D181)=0,"⚠ Tema não cadastrado","✔ OK")))</f>
        <v/>
      </c>
    </row>
    <row r="182">
      <c r="B182" s="40" t="n"/>
      <c r="C182" s="41" t="n"/>
      <c r="D182" s="42" t="n"/>
      <c r="E182" s="42" t="n"/>
      <c r="F182" s="43">
        <f>IF(AND(B182="",D182=""),"",IF(D182="","⚠ Escolha o tema",IF(COUNTIF('1. Temas'!$C$8:$C$37,D182)=0,"⚠ Tema não cadastrado","✔ OK")))</f>
        <v/>
      </c>
    </row>
    <row r="183">
      <c r="B183" s="40" t="n"/>
      <c r="C183" s="41" t="n"/>
      <c r="D183" s="42" t="n"/>
      <c r="E183" s="42" t="n"/>
      <c r="F183" s="43">
        <f>IF(AND(B183="",D183=""),"",IF(D183="","⚠ Escolha o tema",IF(COUNTIF('1. Temas'!$C$8:$C$37,D183)=0,"⚠ Tema não cadastrado","✔ OK")))</f>
        <v/>
      </c>
    </row>
    <row r="184">
      <c r="B184" s="40" t="n"/>
      <c r="C184" s="41" t="n"/>
      <c r="D184" s="42" t="n"/>
      <c r="E184" s="42" t="n"/>
      <c r="F184" s="43">
        <f>IF(AND(B184="",D184=""),"",IF(D184="","⚠ Escolha o tema",IF(COUNTIF('1. Temas'!$C$8:$C$37,D184)=0,"⚠ Tema não cadastrado","✔ OK")))</f>
        <v/>
      </c>
    </row>
    <row r="185">
      <c r="B185" s="40" t="n"/>
      <c r="C185" s="41" t="n"/>
      <c r="D185" s="42" t="n"/>
      <c r="E185" s="42" t="n"/>
      <c r="F185" s="43">
        <f>IF(AND(B185="",D185=""),"",IF(D185="","⚠ Escolha o tema",IF(COUNTIF('1. Temas'!$C$8:$C$37,D185)=0,"⚠ Tema não cadastrado","✔ OK")))</f>
        <v/>
      </c>
    </row>
    <row r="186">
      <c r="B186" s="40" t="n"/>
      <c r="C186" s="41" t="n"/>
      <c r="D186" s="42" t="n"/>
      <c r="E186" s="42" t="n"/>
      <c r="F186" s="43">
        <f>IF(AND(B186="",D186=""),"",IF(D186="","⚠ Escolha o tema",IF(COUNTIF('1. Temas'!$C$8:$C$37,D186)=0,"⚠ Tema não cadastrado","✔ OK")))</f>
        <v/>
      </c>
    </row>
    <row r="187">
      <c r="B187" s="40" t="n"/>
      <c r="C187" s="41" t="n"/>
      <c r="D187" s="42" t="n"/>
      <c r="E187" s="42" t="n"/>
      <c r="F187" s="43">
        <f>IF(AND(B187="",D187=""),"",IF(D187="","⚠ Escolha o tema",IF(COUNTIF('1. Temas'!$C$8:$C$37,D187)=0,"⚠ Tema não cadastrado","✔ OK")))</f>
        <v/>
      </c>
    </row>
    <row r="188">
      <c r="B188" s="40" t="n"/>
      <c r="C188" s="41" t="n"/>
      <c r="D188" s="42" t="n"/>
      <c r="E188" s="42" t="n"/>
      <c r="F188" s="43">
        <f>IF(AND(B188="",D188=""),"",IF(D188="","⚠ Escolha o tema",IF(COUNTIF('1. Temas'!$C$8:$C$37,D188)=0,"⚠ Tema não cadastrado","✔ OK")))</f>
        <v/>
      </c>
    </row>
    <row r="189">
      <c r="B189" s="40" t="n"/>
      <c r="C189" s="41" t="n"/>
      <c r="D189" s="42" t="n"/>
      <c r="E189" s="42" t="n"/>
      <c r="F189" s="43">
        <f>IF(AND(B189="",D189=""),"",IF(D189="","⚠ Escolha o tema",IF(COUNTIF('1. Temas'!$C$8:$C$37,D189)=0,"⚠ Tema não cadastrado","✔ OK")))</f>
        <v/>
      </c>
    </row>
    <row r="190">
      <c r="B190" s="40" t="n"/>
      <c r="C190" s="41" t="n"/>
      <c r="D190" s="42" t="n"/>
      <c r="E190" s="42" t="n"/>
      <c r="F190" s="43">
        <f>IF(AND(B190="",D190=""),"",IF(D190="","⚠ Escolha o tema",IF(COUNTIF('1. Temas'!$C$8:$C$37,D190)=0,"⚠ Tema não cadastrado","✔ OK")))</f>
        <v/>
      </c>
    </row>
    <row r="191">
      <c r="B191" s="40" t="n"/>
      <c r="C191" s="41" t="n"/>
      <c r="D191" s="42" t="n"/>
      <c r="E191" s="42" t="n"/>
      <c r="F191" s="43">
        <f>IF(AND(B191="",D191=""),"",IF(D191="","⚠ Escolha o tema",IF(COUNTIF('1. Temas'!$C$8:$C$37,D191)=0,"⚠ Tema não cadastrado","✔ OK")))</f>
        <v/>
      </c>
    </row>
    <row r="192">
      <c r="B192" s="40" t="n"/>
      <c r="C192" s="41" t="n"/>
      <c r="D192" s="42" t="n"/>
      <c r="E192" s="42" t="n"/>
      <c r="F192" s="43">
        <f>IF(AND(B192="",D192=""),"",IF(D192="","⚠ Escolha o tema",IF(COUNTIF('1. Temas'!$C$8:$C$37,D192)=0,"⚠ Tema não cadastrado","✔ OK")))</f>
        <v/>
      </c>
    </row>
    <row r="193">
      <c r="B193" s="40" t="n"/>
      <c r="C193" s="41" t="n"/>
      <c r="D193" s="42" t="n"/>
      <c r="E193" s="42" t="n"/>
      <c r="F193" s="43">
        <f>IF(AND(B193="",D193=""),"",IF(D193="","⚠ Escolha o tema",IF(COUNTIF('1. Temas'!$C$8:$C$37,D193)=0,"⚠ Tema não cadastrado","✔ OK")))</f>
        <v/>
      </c>
    </row>
    <row r="194">
      <c r="B194" s="40" t="n"/>
      <c r="C194" s="41" t="n"/>
      <c r="D194" s="42" t="n"/>
      <c r="E194" s="42" t="n"/>
      <c r="F194" s="43">
        <f>IF(AND(B194="",D194=""),"",IF(D194="","⚠ Escolha o tema",IF(COUNTIF('1. Temas'!$C$8:$C$37,D194)=0,"⚠ Tema não cadastrado","✔ OK")))</f>
        <v/>
      </c>
    </row>
    <row r="195">
      <c r="B195" s="40" t="n"/>
      <c r="C195" s="41" t="n"/>
      <c r="D195" s="42" t="n"/>
      <c r="E195" s="42" t="n"/>
      <c r="F195" s="43">
        <f>IF(AND(B195="",D195=""),"",IF(D195="","⚠ Escolha o tema",IF(COUNTIF('1. Temas'!$C$8:$C$37,D195)=0,"⚠ Tema não cadastrado","✔ OK")))</f>
        <v/>
      </c>
    </row>
    <row r="196">
      <c r="B196" s="40" t="n"/>
      <c r="C196" s="41" t="n"/>
      <c r="D196" s="42" t="n"/>
      <c r="E196" s="42" t="n"/>
      <c r="F196" s="43">
        <f>IF(AND(B196="",D196=""),"",IF(D196="","⚠ Escolha o tema",IF(COUNTIF('1. Temas'!$C$8:$C$37,D196)=0,"⚠ Tema não cadastrado","✔ OK")))</f>
        <v/>
      </c>
    </row>
    <row r="197">
      <c r="B197" s="40" t="n"/>
      <c r="C197" s="41" t="n"/>
      <c r="D197" s="42" t="n"/>
      <c r="E197" s="42" t="n"/>
      <c r="F197" s="43">
        <f>IF(AND(B197="",D197=""),"",IF(D197="","⚠ Escolha o tema",IF(COUNTIF('1. Temas'!$C$8:$C$37,D197)=0,"⚠ Tema não cadastrado","✔ OK")))</f>
        <v/>
      </c>
    </row>
    <row r="198">
      <c r="B198" s="40" t="n"/>
      <c r="C198" s="41" t="n"/>
      <c r="D198" s="42" t="n"/>
      <c r="E198" s="42" t="n"/>
      <c r="F198" s="43">
        <f>IF(AND(B198="",D198=""),"",IF(D198="","⚠ Escolha o tema",IF(COUNTIF('1. Temas'!$C$8:$C$37,D198)=0,"⚠ Tema não cadastrado","✔ OK")))</f>
        <v/>
      </c>
    </row>
    <row r="199">
      <c r="B199" s="40" t="n"/>
      <c r="C199" s="41" t="n"/>
      <c r="D199" s="42" t="n"/>
      <c r="E199" s="42" t="n"/>
      <c r="F199" s="43">
        <f>IF(AND(B199="",D199=""),"",IF(D199="","⚠ Escolha o tema",IF(COUNTIF('1. Temas'!$C$8:$C$37,D199)=0,"⚠ Tema não cadastrado","✔ OK")))</f>
        <v/>
      </c>
    </row>
    <row r="200">
      <c r="B200" s="40" t="n"/>
      <c r="C200" s="41" t="n"/>
      <c r="D200" s="42" t="n"/>
      <c r="E200" s="42" t="n"/>
      <c r="F200" s="43">
        <f>IF(AND(B200="",D200=""),"",IF(D200="","⚠ Escolha o tema",IF(COUNTIF('1. Temas'!$C$8:$C$37,D200)=0,"⚠ Tema não cadastrado","✔ OK")))</f>
        <v/>
      </c>
    </row>
    <row r="201">
      <c r="B201" s="40" t="n"/>
      <c r="C201" s="41" t="n"/>
      <c r="D201" s="42" t="n"/>
      <c r="E201" s="42" t="n"/>
      <c r="F201" s="43">
        <f>IF(AND(B201="",D201=""),"",IF(D201="","⚠ Escolha o tema",IF(COUNTIF('1. Temas'!$C$8:$C$37,D201)=0,"⚠ Tema não cadastrado","✔ OK")))</f>
        <v/>
      </c>
    </row>
    <row r="202">
      <c r="B202" s="40" t="n"/>
      <c r="C202" s="41" t="n"/>
      <c r="D202" s="42" t="n"/>
      <c r="E202" s="42" t="n"/>
      <c r="F202" s="43">
        <f>IF(AND(B202="",D202=""),"",IF(D202="","⚠ Escolha o tema",IF(COUNTIF('1. Temas'!$C$8:$C$37,D202)=0,"⚠ Tema não cadastrado","✔ OK")))</f>
        <v/>
      </c>
    </row>
    <row r="203">
      <c r="B203" s="40" t="n"/>
      <c r="C203" s="41" t="n"/>
      <c r="D203" s="42" t="n"/>
      <c r="E203" s="42" t="n"/>
      <c r="F203" s="43">
        <f>IF(AND(B203="",D203=""),"",IF(D203="","⚠ Escolha o tema",IF(COUNTIF('1. Temas'!$C$8:$C$37,D203)=0,"⚠ Tema não cadastrado","✔ OK")))</f>
        <v/>
      </c>
    </row>
    <row r="204">
      <c r="B204" s="40" t="n"/>
      <c r="C204" s="41" t="n"/>
      <c r="D204" s="42" t="n"/>
      <c r="E204" s="42" t="n"/>
      <c r="F204" s="43">
        <f>IF(AND(B204="",D204=""),"",IF(D204="","⚠ Escolha o tema",IF(COUNTIF('1. Temas'!$C$8:$C$37,D204)=0,"⚠ Tema não cadastrado","✔ OK")))</f>
        <v/>
      </c>
    </row>
    <row r="205">
      <c r="B205" s="40" t="n"/>
      <c r="C205" s="41" t="n"/>
      <c r="D205" s="42" t="n"/>
      <c r="E205" s="42" t="n"/>
      <c r="F205" s="43">
        <f>IF(AND(B205="",D205=""),"",IF(D205="","⚠ Escolha o tema",IF(COUNTIF('1. Temas'!$C$8:$C$37,D205)=0,"⚠ Tema não cadastrado","✔ OK")))</f>
        <v/>
      </c>
    </row>
    <row r="206">
      <c r="B206" s="40" t="n"/>
      <c r="C206" s="41" t="n"/>
      <c r="D206" s="42" t="n"/>
      <c r="E206" s="42" t="n"/>
      <c r="F206" s="43">
        <f>IF(AND(B206="",D206=""),"",IF(D206="","⚠ Escolha o tema",IF(COUNTIF('1. Temas'!$C$8:$C$37,D206)=0,"⚠ Tema não cadastrado","✔ OK")))</f>
        <v/>
      </c>
    </row>
    <row r="207">
      <c r="B207" s="40" t="n"/>
      <c r="C207" s="41" t="n"/>
      <c r="D207" s="42" t="n"/>
      <c r="E207" s="42" t="n"/>
      <c r="F207" s="43">
        <f>IF(AND(B207="",D207=""),"",IF(D207="","⚠ Escolha o tema",IF(COUNTIF('1. Temas'!$C$8:$C$37,D207)=0,"⚠ Tema não cadastrado","✔ OK")))</f>
        <v/>
      </c>
    </row>
    <row r="208">
      <c r="B208" s="40" t="n"/>
      <c r="C208" s="41" t="n"/>
      <c r="D208" s="42" t="n"/>
      <c r="E208" s="42" t="n"/>
      <c r="F208" s="43">
        <f>IF(AND(B208="",D208=""),"",IF(D208="","⚠ Escolha o tema",IF(COUNTIF('1. Temas'!$C$8:$C$37,D208)=0,"⚠ Tema não cadastrado","✔ OK")))</f>
        <v/>
      </c>
    </row>
    <row r="209">
      <c r="B209" s="40" t="n"/>
      <c r="C209" s="41" t="n"/>
      <c r="D209" s="42" t="n"/>
      <c r="E209" s="42" t="n"/>
      <c r="F209" s="43">
        <f>IF(AND(B209="",D209=""),"",IF(D209="","⚠ Escolha o tema",IF(COUNTIF('1. Temas'!$C$8:$C$37,D209)=0,"⚠ Tema não cadastrado","✔ OK")))</f>
        <v/>
      </c>
    </row>
    <row r="210">
      <c r="B210" s="40" t="n"/>
      <c r="C210" s="41" t="n"/>
      <c r="D210" s="42" t="n"/>
      <c r="E210" s="42" t="n"/>
      <c r="F210" s="43">
        <f>IF(AND(B210="",D210=""),"",IF(D210="","⚠ Escolha o tema",IF(COUNTIF('1. Temas'!$C$8:$C$37,D210)=0,"⚠ Tema não cadastrado","✔ OK")))</f>
        <v/>
      </c>
    </row>
    <row r="211">
      <c r="B211" s="40" t="n"/>
      <c r="C211" s="41" t="n"/>
      <c r="D211" s="42" t="n"/>
      <c r="E211" s="42" t="n"/>
      <c r="F211" s="43">
        <f>IF(AND(B211="",D211=""),"",IF(D211="","⚠ Escolha o tema",IF(COUNTIF('1. Temas'!$C$8:$C$37,D211)=0,"⚠ Tema não cadastrado","✔ OK")))</f>
        <v/>
      </c>
    </row>
    <row r="212">
      <c r="B212" s="40" t="n"/>
      <c r="C212" s="41" t="n"/>
      <c r="D212" s="42" t="n"/>
      <c r="E212" s="42" t="n"/>
      <c r="F212" s="43">
        <f>IF(AND(B212="",D212=""),"",IF(D212="","⚠ Escolha o tema",IF(COUNTIF('1. Temas'!$C$8:$C$37,D212)=0,"⚠ Tema não cadastrado","✔ OK")))</f>
        <v/>
      </c>
    </row>
    <row r="213">
      <c r="B213" s="40" t="n"/>
      <c r="C213" s="41" t="n"/>
      <c r="D213" s="42" t="n"/>
      <c r="E213" s="42" t="n"/>
      <c r="F213" s="43">
        <f>IF(AND(B213="",D213=""),"",IF(D213="","⚠ Escolha o tema",IF(COUNTIF('1. Temas'!$C$8:$C$37,D213)=0,"⚠ Tema não cadastrado","✔ OK")))</f>
        <v/>
      </c>
    </row>
    <row r="214">
      <c r="B214" s="40" t="n"/>
      <c r="C214" s="41" t="n"/>
      <c r="D214" s="42" t="n"/>
      <c r="E214" s="42" t="n"/>
      <c r="F214" s="43">
        <f>IF(AND(B214="",D214=""),"",IF(D214="","⚠ Escolha o tema",IF(COUNTIF('1. Temas'!$C$8:$C$37,D214)=0,"⚠ Tema não cadastrado","✔ OK")))</f>
        <v/>
      </c>
    </row>
    <row r="215">
      <c r="B215" s="40" t="n"/>
      <c r="C215" s="41" t="n"/>
      <c r="D215" s="42" t="n"/>
      <c r="E215" s="42" t="n"/>
      <c r="F215" s="43">
        <f>IF(AND(B215="",D215=""),"",IF(D215="","⚠ Escolha o tema",IF(COUNTIF('1. Temas'!$C$8:$C$37,D215)=0,"⚠ Tema não cadastrado","✔ OK")))</f>
        <v/>
      </c>
    </row>
    <row r="216">
      <c r="B216" s="40" t="n"/>
      <c r="C216" s="41" t="n"/>
      <c r="D216" s="42" t="n"/>
      <c r="E216" s="42" t="n"/>
      <c r="F216" s="43">
        <f>IF(AND(B216="",D216=""),"",IF(D216="","⚠ Escolha o tema",IF(COUNTIF('1. Temas'!$C$8:$C$37,D216)=0,"⚠ Tema não cadastrado","✔ OK")))</f>
        <v/>
      </c>
    </row>
    <row r="217">
      <c r="B217" s="40" t="n"/>
      <c r="C217" s="41" t="n"/>
      <c r="D217" s="42" t="n"/>
      <c r="E217" s="42" t="n"/>
      <c r="F217" s="43">
        <f>IF(AND(B217="",D217=""),"",IF(D217="","⚠ Escolha o tema",IF(COUNTIF('1. Temas'!$C$8:$C$37,D217)=0,"⚠ Tema não cadastrado","✔ OK")))</f>
        <v/>
      </c>
    </row>
    <row r="218">
      <c r="B218" s="40" t="n"/>
      <c r="C218" s="41" t="n"/>
      <c r="D218" s="42" t="n"/>
      <c r="E218" s="42" t="n"/>
      <c r="F218" s="43">
        <f>IF(AND(B218="",D218=""),"",IF(D218="","⚠ Escolha o tema",IF(COUNTIF('1. Temas'!$C$8:$C$37,D218)=0,"⚠ Tema não cadastrado","✔ OK")))</f>
        <v/>
      </c>
    </row>
    <row r="219">
      <c r="B219" s="40" t="n"/>
      <c r="C219" s="41" t="n"/>
      <c r="D219" s="42" t="n"/>
      <c r="E219" s="42" t="n"/>
      <c r="F219" s="43">
        <f>IF(AND(B219="",D219=""),"",IF(D219="","⚠ Escolha o tema",IF(COUNTIF('1. Temas'!$C$8:$C$37,D219)=0,"⚠ Tema não cadastrado","✔ OK")))</f>
        <v/>
      </c>
    </row>
    <row r="220">
      <c r="B220" s="40" t="n"/>
      <c r="C220" s="41" t="n"/>
      <c r="D220" s="42" t="n"/>
      <c r="E220" s="42" t="n"/>
      <c r="F220" s="43">
        <f>IF(AND(B220="",D220=""),"",IF(D220="","⚠ Escolha o tema",IF(COUNTIF('1. Temas'!$C$8:$C$37,D220)=0,"⚠ Tema não cadastrado","✔ OK")))</f>
        <v/>
      </c>
    </row>
    <row r="221">
      <c r="B221" s="40" t="n"/>
      <c r="C221" s="41" t="n"/>
      <c r="D221" s="42" t="n"/>
      <c r="E221" s="42" t="n"/>
      <c r="F221" s="43">
        <f>IF(AND(B221="",D221=""),"",IF(D221="","⚠ Escolha o tema",IF(COUNTIF('1. Temas'!$C$8:$C$37,D221)=0,"⚠ Tema não cadastrado","✔ OK")))</f>
        <v/>
      </c>
    </row>
    <row r="222">
      <c r="B222" s="40" t="n"/>
      <c r="C222" s="41" t="n"/>
      <c r="D222" s="42" t="n"/>
      <c r="E222" s="42" t="n"/>
      <c r="F222" s="43">
        <f>IF(AND(B222="",D222=""),"",IF(D222="","⚠ Escolha o tema",IF(COUNTIF('1. Temas'!$C$8:$C$37,D222)=0,"⚠ Tema não cadastrado","✔ OK")))</f>
        <v/>
      </c>
    </row>
    <row r="223">
      <c r="B223" s="40" t="n"/>
      <c r="C223" s="41" t="n"/>
      <c r="D223" s="42" t="n"/>
      <c r="E223" s="42" t="n"/>
      <c r="F223" s="43">
        <f>IF(AND(B223="",D223=""),"",IF(D223="","⚠ Escolha o tema",IF(COUNTIF('1. Temas'!$C$8:$C$37,D223)=0,"⚠ Tema não cadastrado","✔ OK")))</f>
        <v/>
      </c>
    </row>
    <row r="224">
      <c r="B224" s="40" t="n"/>
      <c r="C224" s="41" t="n"/>
      <c r="D224" s="42" t="n"/>
      <c r="E224" s="42" t="n"/>
      <c r="F224" s="43">
        <f>IF(AND(B224="",D224=""),"",IF(D224="","⚠ Escolha o tema",IF(COUNTIF('1. Temas'!$C$8:$C$37,D224)=0,"⚠ Tema não cadastrado","✔ OK")))</f>
        <v/>
      </c>
    </row>
    <row r="225">
      <c r="B225" s="40" t="n"/>
      <c r="C225" s="41" t="n"/>
      <c r="D225" s="42" t="n"/>
      <c r="E225" s="42" t="n"/>
      <c r="F225" s="43">
        <f>IF(AND(B225="",D225=""),"",IF(D225="","⚠ Escolha o tema",IF(COUNTIF('1. Temas'!$C$8:$C$37,D225)=0,"⚠ Tema não cadastrado","✔ OK")))</f>
        <v/>
      </c>
    </row>
    <row r="226">
      <c r="B226" s="40" t="n"/>
      <c r="C226" s="41" t="n"/>
      <c r="D226" s="42" t="n"/>
      <c r="E226" s="42" t="n"/>
      <c r="F226" s="43">
        <f>IF(AND(B226="",D226=""),"",IF(D226="","⚠ Escolha o tema",IF(COUNTIF('1. Temas'!$C$8:$C$37,D226)=0,"⚠ Tema não cadastrado","✔ OK")))</f>
        <v/>
      </c>
    </row>
    <row r="227">
      <c r="B227" s="40" t="n"/>
      <c r="C227" s="41" t="n"/>
      <c r="D227" s="42" t="n"/>
      <c r="E227" s="42" t="n"/>
      <c r="F227" s="43">
        <f>IF(AND(B227="",D227=""),"",IF(D227="","⚠ Escolha o tema",IF(COUNTIF('1. Temas'!$C$8:$C$37,D227)=0,"⚠ Tema não cadastrado","✔ OK")))</f>
        <v/>
      </c>
    </row>
    <row r="228">
      <c r="B228" s="40" t="n"/>
      <c r="C228" s="41" t="n"/>
      <c r="D228" s="42" t="n"/>
      <c r="E228" s="42" t="n"/>
      <c r="F228" s="43">
        <f>IF(AND(B228="",D228=""),"",IF(D228="","⚠ Escolha o tema",IF(COUNTIF('1. Temas'!$C$8:$C$37,D228)=0,"⚠ Tema não cadastrado","✔ OK")))</f>
        <v/>
      </c>
    </row>
    <row r="229">
      <c r="B229" s="40" t="n"/>
      <c r="C229" s="41" t="n"/>
      <c r="D229" s="42" t="n"/>
      <c r="E229" s="42" t="n"/>
      <c r="F229" s="43">
        <f>IF(AND(B229="",D229=""),"",IF(D229="","⚠ Escolha o tema",IF(COUNTIF('1. Temas'!$C$8:$C$37,D229)=0,"⚠ Tema não cadastrado","✔ OK")))</f>
        <v/>
      </c>
    </row>
    <row r="230">
      <c r="B230" s="40" t="n"/>
      <c r="C230" s="41" t="n"/>
      <c r="D230" s="42" t="n"/>
      <c r="E230" s="42" t="n"/>
      <c r="F230" s="43">
        <f>IF(AND(B230="",D230=""),"",IF(D230="","⚠ Escolha o tema",IF(COUNTIF('1. Temas'!$C$8:$C$37,D230)=0,"⚠ Tema não cadastrado","✔ OK")))</f>
        <v/>
      </c>
    </row>
    <row r="231">
      <c r="B231" s="40" t="n"/>
      <c r="C231" s="41" t="n"/>
      <c r="D231" s="42" t="n"/>
      <c r="E231" s="42" t="n"/>
      <c r="F231" s="43">
        <f>IF(AND(B231="",D231=""),"",IF(D231="","⚠ Escolha o tema",IF(COUNTIF('1. Temas'!$C$8:$C$37,D231)=0,"⚠ Tema não cadastrado","✔ OK")))</f>
        <v/>
      </c>
    </row>
    <row r="232">
      <c r="B232" s="40" t="n"/>
      <c r="C232" s="41" t="n"/>
      <c r="D232" s="42" t="n"/>
      <c r="E232" s="42" t="n"/>
      <c r="F232" s="43">
        <f>IF(AND(B232="",D232=""),"",IF(D232="","⚠ Escolha o tema",IF(COUNTIF('1. Temas'!$C$8:$C$37,D232)=0,"⚠ Tema não cadastrado","✔ OK")))</f>
        <v/>
      </c>
    </row>
    <row r="233">
      <c r="B233" s="40" t="n"/>
      <c r="C233" s="41" t="n"/>
      <c r="D233" s="42" t="n"/>
      <c r="E233" s="42" t="n"/>
      <c r="F233" s="43">
        <f>IF(AND(B233="",D233=""),"",IF(D233="","⚠ Escolha o tema",IF(COUNTIF('1. Temas'!$C$8:$C$37,D233)=0,"⚠ Tema não cadastrado","✔ OK")))</f>
        <v/>
      </c>
    </row>
    <row r="234">
      <c r="B234" s="40" t="n"/>
      <c r="C234" s="41" t="n"/>
      <c r="D234" s="42" t="n"/>
      <c r="E234" s="42" t="n"/>
      <c r="F234" s="43">
        <f>IF(AND(B234="",D234=""),"",IF(D234="","⚠ Escolha o tema",IF(COUNTIF('1. Temas'!$C$8:$C$37,D234)=0,"⚠ Tema não cadastrado","✔ OK")))</f>
        <v/>
      </c>
    </row>
    <row r="235">
      <c r="B235" s="40" t="n"/>
      <c r="C235" s="41" t="n"/>
      <c r="D235" s="42" t="n"/>
      <c r="E235" s="42" t="n"/>
      <c r="F235" s="43">
        <f>IF(AND(B235="",D235=""),"",IF(D235="","⚠ Escolha o tema",IF(COUNTIF('1. Temas'!$C$8:$C$37,D235)=0,"⚠ Tema não cadastrado","✔ OK")))</f>
        <v/>
      </c>
    </row>
    <row r="236">
      <c r="B236" s="40" t="n"/>
      <c r="C236" s="41" t="n"/>
      <c r="D236" s="42" t="n"/>
      <c r="E236" s="42" t="n"/>
      <c r="F236" s="43">
        <f>IF(AND(B236="",D236=""),"",IF(D236="","⚠ Escolha o tema",IF(COUNTIF('1. Temas'!$C$8:$C$37,D236)=0,"⚠ Tema não cadastrado","✔ OK")))</f>
        <v/>
      </c>
    </row>
    <row r="237">
      <c r="B237" s="40" t="n"/>
      <c r="C237" s="41" t="n"/>
      <c r="D237" s="42" t="n"/>
      <c r="E237" s="42" t="n"/>
      <c r="F237" s="43">
        <f>IF(AND(B237="",D237=""),"",IF(D237="","⚠ Escolha o tema",IF(COUNTIF('1. Temas'!$C$8:$C$37,D237)=0,"⚠ Tema não cadastrado","✔ OK")))</f>
        <v/>
      </c>
    </row>
    <row r="238">
      <c r="B238" s="40" t="n"/>
      <c r="C238" s="41" t="n"/>
      <c r="D238" s="42" t="n"/>
      <c r="E238" s="42" t="n"/>
      <c r="F238" s="43">
        <f>IF(AND(B238="",D238=""),"",IF(D238="","⚠ Escolha o tema",IF(COUNTIF('1. Temas'!$C$8:$C$37,D238)=0,"⚠ Tema não cadastrado","✔ OK")))</f>
        <v/>
      </c>
    </row>
    <row r="239">
      <c r="B239" s="40" t="n"/>
      <c r="C239" s="41" t="n"/>
      <c r="D239" s="42" t="n"/>
      <c r="E239" s="42" t="n"/>
      <c r="F239" s="43">
        <f>IF(AND(B239="",D239=""),"",IF(D239="","⚠ Escolha o tema",IF(COUNTIF('1. Temas'!$C$8:$C$37,D239)=0,"⚠ Tema não cadastrado","✔ OK")))</f>
        <v/>
      </c>
    </row>
    <row r="240">
      <c r="B240" s="40" t="n"/>
      <c r="C240" s="41" t="n"/>
      <c r="D240" s="42" t="n"/>
      <c r="E240" s="42" t="n"/>
      <c r="F240" s="43">
        <f>IF(AND(B240="",D240=""),"",IF(D240="","⚠ Escolha o tema",IF(COUNTIF('1. Temas'!$C$8:$C$37,D240)=0,"⚠ Tema não cadastrado","✔ OK")))</f>
        <v/>
      </c>
    </row>
    <row r="241">
      <c r="B241" s="40" t="n"/>
      <c r="C241" s="41" t="n"/>
      <c r="D241" s="42" t="n"/>
      <c r="E241" s="42" t="n"/>
      <c r="F241" s="43">
        <f>IF(AND(B241="",D241=""),"",IF(D241="","⚠ Escolha o tema",IF(COUNTIF('1. Temas'!$C$8:$C$37,D241)=0,"⚠ Tema não cadastrado","✔ OK")))</f>
        <v/>
      </c>
    </row>
    <row r="242">
      <c r="B242" s="40" t="n"/>
      <c r="C242" s="41" t="n"/>
      <c r="D242" s="42" t="n"/>
      <c r="E242" s="42" t="n"/>
      <c r="F242" s="43">
        <f>IF(AND(B242="",D242=""),"",IF(D242="","⚠ Escolha o tema",IF(COUNTIF('1. Temas'!$C$8:$C$37,D242)=0,"⚠ Tema não cadastrado","✔ OK")))</f>
        <v/>
      </c>
    </row>
    <row r="243">
      <c r="B243" s="40" t="n"/>
      <c r="C243" s="41" t="n"/>
      <c r="D243" s="42" t="n"/>
      <c r="E243" s="42" t="n"/>
      <c r="F243" s="43">
        <f>IF(AND(B243="",D243=""),"",IF(D243="","⚠ Escolha o tema",IF(COUNTIF('1. Temas'!$C$8:$C$37,D243)=0,"⚠ Tema não cadastrado","✔ OK")))</f>
        <v/>
      </c>
    </row>
    <row r="244">
      <c r="B244" s="40" t="n"/>
      <c r="C244" s="41" t="n"/>
      <c r="D244" s="42" t="n"/>
      <c r="E244" s="42" t="n"/>
      <c r="F244" s="43">
        <f>IF(AND(B244="",D244=""),"",IF(D244="","⚠ Escolha o tema",IF(COUNTIF('1. Temas'!$C$8:$C$37,D244)=0,"⚠ Tema não cadastrado","✔ OK")))</f>
        <v/>
      </c>
    </row>
    <row r="245">
      <c r="B245" s="40" t="n"/>
      <c r="C245" s="41" t="n"/>
      <c r="D245" s="42" t="n"/>
      <c r="E245" s="42" t="n"/>
      <c r="F245" s="43">
        <f>IF(AND(B245="",D245=""),"",IF(D245="","⚠ Escolha o tema",IF(COUNTIF('1. Temas'!$C$8:$C$37,D245)=0,"⚠ Tema não cadastrado","✔ OK")))</f>
        <v/>
      </c>
    </row>
    <row r="246">
      <c r="B246" s="40" t="n"/>
      <c r="C246" s="41" t="n"/>
      <c r="D246" s="42" t="n"/>
      <c r="E246" s="42" t="n"/>
      <c r="F246" s="43">
        <f>IF(AND(B246="",D246=""),"",IF(D246="","⚠ Escolha o tema",IF(COUNTIF('1. Temas'!$C$8:$C$37,D246)=0,"⚠ Tema não cadastrado","✔ OK")))</f>
        <v/>
      </c>
    </row>
    <row r="247">
      <c r="B247" s="40" t="n"/>
      <c r="C247" s="41" t="n"/>
      <c r="D247" s="42" t="n"/>
      <c r="E247" s="42" t="n"/>
      <c r="F247" s="43">
        <f>IF(AND(B247="",D247=""),"",IF(D247="","⚠ Escolha o tema",IF(COUNTIF('1. Temas'!$C$8:$C$37,D247)=0,"⚠ Tema não cadastrado","✔ OK")))</f>
        <v/>
      </c>
    </row>
    <row r="248">
      <c r="B248" s="40" t="n"/>
      <c r="C248" s="41" t="n"/>
      <c r="D248" s="42" t="n"/>
      <c r="E248" s="42" t="n"/>
      <c r="F248" s="43">
        <f>IF(AND(B248="",D248=""),"",IF(D248="","⚠ Escolha o tema",IF(COUNTIF('1. Temas'!$C$8:$C$37,D248)=0,"⚠ Tema não cadastrado","✔ OK")))</f>
        <v/>
      </c>
    </row>
    <row r="249">
      <c r="B249" s="40" t="n"/>
      <c r="C249" s="41" t="n"/>
      <c r="D249" s="42" t="n"/>
      <c r="E249" s="42" t="n"/>
      <c r="F249" s="43">
        <f>IF(AND(B249="",D249=""),"",IF(D249="","⚠ Escolha o tema",IF(COUNTIF('1. Temas'!$C$8:$C$37,D249)=0,"⚠ Tema não cadastrado","✔ OK")))</f>
        <v/>
      </c>
    </row>
    <row r="250">
      <c r="B250" s="40" t="n"/>
      <c r="C250" s="41" t="n"/>
      <c r="D250" s="42" t="n"/>
      <c r="E250" s="42" t="n"/>
      <c r="F250" s="43">
        <f>IF(AND(B250="",D250=""),"",IF(D250="","⚠ Escolha o tema",IF(COUNTIF('1. Temas'!$C$8:$C$37,D250)=0,"⚠ Tema não cadastrado","✔ OK")))</f>
        <v/>
      </c>
    </row>
    <row r="251">
      <c r="B251" s="40" t="n"/>
      <c r="C251" s="41" t="n"/>
      <c r="D251" s="42" t="n"/>
      <c r="E251" s="42" t="n"/>
      <c r="F251" s="43">
        <f>IF(AND(B251="",D251=""),"",IF(D251="","⚠ Escolha o tema",IF(COUNTIF('1. Temas'!$C$8:$C$37,D251)=0,"⚠ Tema não cadastrado","✔ OK")))</f>
        <v/>
      </c>
    </row>
    <row r="252">
      <c r="B252" s="40" t="n"/>
      <c r="C252" s="41" t="n"/>
      <c r="D252" s="42" t="n"/>
      <c r="E252" s="42" t="n"/>
      <c r="F252" s="43">
        <f>IF(AND(B252="",D252=""),"",IF(D252="","⚠ Escolha o tema",IF(COUNTIF('1. Temas'!$C$8:$C$37,D252)=0,"⚠ Tema não cadastrado","✔ OK")))</f>
        <v/>
      </c>
    </row>
    <row r="253">
      <c r="B253" s="40" t="n"/>
      <c r="C253" s="41" t="n"/>
      <c r="D253" s="42" t="n"/>
      <c r="E253" s="42" t="n"/>
      <c r="F253" s="43">
        <f>IF(AND(B253="",D253=""),"",IF(D253="","⚠ Escolha o tema",IF(COUNTIF('1. Temas'!$C$8:$C$37,D253)=0,"⚠ Tema não cadastrado","✔ OK")))</f>
        <v/>
      </c>
    </row>
    <row r="254">
      <c r="B254" s="40" t="n"/>
      <c r="C254" s="41" t="n"/>
      <c r="D254" s="42" t="n"/>
      <c r="E254" s="42" t="n"/>
      <c r="F254" s="43">
        <f>IF(AND(B254="",D254=""),"",IF(D254="","⚠ Escolha o tema",IF(COUNTIF('1. Temas'!$C$8:$C$37,D254)=0,"⚠ Tema não cadastrado","✔ OK")))</f>
        <v/>
      </c>
    </row>
    <row r="255">
      <c r="B255" s="40" t="n"/>
      <c r="C255" s="41" t="n"/>
      <c r="D255" s="42" t="n"/>
      <c r="E255" s="42" t="n"/>
      <c r="F255" s="43">
        <f>IF(AND(B255="",D255=""),"",IF(D255="","⚠ Escolha o tema",IF(COUNTIF('1. Temas'!$C$8:$C$37,D255)=0,"⚠ Tema não cadastrado","✔ OK")))</f>
        <v/>
      </c>
    </row>
    <row r="256">
      <c r="B256" s="40" t="n"/>
      <c r="C256" s="41" t="n"/>
      <c r="D256" s="42" t="n"/>
      <c r="E256" s="42" t="n"/>
      <c r="F256" s="43">
        <f>IF(AND(B256="",D256=""),"",IF(D256="","⚠ Escolha o tema",IF(COUNTIF('1. Temas'!$C$8:$C$37,D256)=0,"⚠ Tema não cadastrado","✔ OK")))</f>
        <v/>
      </c>
    </row>
    <row r="257">
      <c r="B257" s="40" t="n"/>
      <c r="C257" s="41" t="n"/>
      <c r="D257" s="42" t="n"/>
      <c r="E257" s="42" t="n"/>
      <c r="F257" s="43">
        <f>IF(AND(B257="",D257=""),"",IF(D257="","⚠ Escolha o tema",IF(COUNTIF('1. Temas'!$C$8:$C$37,D257)=0,"⚠ Tema não cadastrado","✔ OK")))</f>
        <v/>
      </c>
    </row>
    <row r="258">
      <c r="B258" s="40" t="n"/>
      <c r="C258" s="41" t="n"/>
      <c r="D258" s="42" t="n"/>
      <c r="E258" s="42" t="n"/>
      <c r="F258" s="43">
        <f>IF(AND(B258="",D258=""),"",IF(D258="","⚠ Escolha o tema",IF(COUNTIF('1. Temas'!$C$8:$C$37,D258)=0,"⚠ Tema não cadastrado","✔ OK")))</f>
        <v/>
      </c>
    </row>
    <row r="259">
      <c r="B259" s="40" t="n"/>
      <c r="C259" s="41" t="n"/>
      <c r="D259" s="42" t="n"/>
      <c r="E259" s="42" t="n"/>
      <c r="F259" s="43">
        <f>IF(AND(B259="",D259=""),"",IF(D259="","⚠ Escolha o tema",IF(COUNTIF('1. Temas'!$C$8:$C$37,D259)=0,"⚠ Tema não cadastrado","✔ OK")))</f>
        <v/>
      </c>
    </row>
    <row r="260">
      <c r="B260" s="40" t="n"/>
      <c r="C260" s="41" t="n"/>
      <c r="D260" s="42" t="n"/>
      <c r="E260" s="42" t="n"/>
      <c r="F260" s="43">
        <f>IF(AND(B260="",D260=""),"",IF(D260="","⚠ Escolha o tema",IF(COUNTIF('1. Temas'!$C$8:$C$37,D260)=0,"⚠ Tema não cadastrado","✔ OK")))</f>
        <v/>
      </c>
    </row>
    <row r="261">
      <c r="B261" s="40" t="n"/>
      <c r="C261" s="41" t="n"/>
      <c r="D261" s="42" t="n"/>
      <c r="E261" s="42" t="n"/>
      <c r="F261" s="43">
        <f>IF(AND(B261="",D261=""),"",IF(D261="","⚠ Escolha o tema",IF(COUNTIF('1. Temas'!$C$8:$C$37,D261)=0,"⚠ Tema não cadastrado","✔ OK")))</f>
        <v/>
      </c>
    </row>
    <row r="262">
      <c r="B262" s="40" t="n"/>
      <c r="C262" s="41" t="n"/>
      <c r="D262" s="42" t="n"/>
      <c r="E262" s="42" t="n"/>
      <c r="F262" s="43">
        <f>IF(AND(B262="",D262=""),"",IF(D262="","⚠ Escolha o tema",IF(COUNTIF('1. Temas'!$C$8:$C$37,D262)=0,"⚠ Tema não cadastrado","✔ OK")))</f>
        <v/>
      </c>
    </row>
    <row r="263">
      <c r="B263" s="40" t="n"/>
      <c r="C263" s="41" t="n"/>
      <c r="D263" s="42" t="n"/>
      <c r="E263" s="42" t="n"/>
      <c r="F263" s="43">
        <f>IF(AND(B263="",D263=""),"",IF(D263="","⚠ Escolha o tema",IF(COUNTIF('1. Temas'!$C$8:$C$37,D263)=0,"⚠ Tema não cadastrado","✔ OK")))</f>
        <v/>
      </c>
    </row>
    <row r="264">
      <c r="B264" s="40" t="n"/>
      <c r="C264" s="41" t="n"/>
      <c r="D264" s="42" t="n"/>
      <c r="E264" s="42" t="n"/>
      <c r="F264" s="43">
        <f>IF(AND(B264="",D264=""),"",IF(D264="","⚠ Escolha o tema",IF(COUNTIF('1. Temas'!$C$8:$C$37,D264)=0,"⚠ Tema não cadastrado","✔ OK")))</f>
        <v/>
      </c>
    </row>
    <row r="265">
      <c r="B265" s="40" t="n"/>
      <c r="C265" s="41" t="n"/>
      <c r="D265" s="42" t="n"/>
      <c r="E265" s="42" t="n"/>
      <c r="F265" s="43">
        <f>IF(AND(B265="",D265=""),"",IF(D265="","⚠ Escolha o tema",IF(COUNTIF('1. Temas'!$C$8:$C$37,D265)=0,"⚠ Tema não cadastrado","✔ OK")))</f>
        <v/>
      </c>
    </row>
    <row r="266">
      <c r="B266" s="40" t="n"/>
      <c r="C266" s="41" t="n"/>
      <c r="D266" s="42" t="n"/>
      <c r="E266" s="42" t="n"/>
      <c r="F266" s="43">
        <f>IF(AND(B266="",D266=""),"",IF(D266="","⚠ Escolha o tema",IF(COUNTIF('1. Temas'!$C$8:$C$37,D266)=0,"⚠ Tema não cadastrado","✔ OK")))</f>
        <v/>
      </c>
    </row>
    <row r="267">
      <c r="B267" s="40" t="n"/>
      <c r="C267" s="41" t="n"/>
      <c r="D267" s="42" t="n"/>
      <c r="E267" s="42" t="n"/>
      <c r="F267" s="43">
        <f>IF(AND(B267="",D267=""),"",IF(D267="","⚠ Escolha o tema",IF(COUNTIF('1. Temas'!$C$8:$C$37,D267)=0,"⚠ Tema não cadastrado","✔ OK")))</f>
        <v/>
      </c>
    </row>
    <row r="268">
      <c r="B268" s="40" t="n"/>
      <c r="C268" s="41" t="n"/>
      <c r="D268" s="42" t="n"/>
      <c r="E268" s="42" t="n"/>
      <c r="F268" s="43">
        <f>IF(AND(B268="",D268=""),"",IF(D268="","⚠ Escolha o tema",IF(COUNTIF('1. Temas'!$C$8:$C$37,D268)=0,"⚠ Tema não cadastrado","✔ OK")))</f>
        <v/>
      </c>
    </row>
    <row r="269">
      <c r="B269" s="40" t="n"/>
      <c r="C269" s="41" t="n"/>
      <c r="D269" s="42" t="n"/>
      <c r="E269" s="42" t="n"/>
      <c r="F269" s="43">
        <f>IF(AND(B269="",D269=""),"",IF(D269="","⚠ Escolha o tema",IF(COUNTIF('1. Temas'!$C$8:$C$37,D269)=0,"⚠ Tema não cadastrado","✔ OK")))</f>
        <v/>
      </c>
    </row>
    <row r="270">
      <c r="B270" s="40" t="n"/>
      <c r="C270" s="41" t="n"/>
      <c r="D270" s="42" t="n"/>
      <c r="E270" s="42" t="n"/>
      <c r="F270" s="43">
        <f>IF(AND(B270="",D270=""),"",IF(D270="","⚠ Escolha o tema",IF(COUNTIF('1. Temas'!$C$8:$C$37,D270)=0,"⚠ Tema não cadastrado","✔ OK")))</f>
        <v/>
      </c>
    </row>
    <row r="271">
      <c r="B271" s="40" t="n"/>
      <c r="C271" s="41" t="n"/>
      <c r="D271" s="42" t="n"/>
      <c r="E271" s="42" t="n"/>
      <c r="F271" s="43">
        <f>IF(AND(B271="",D271=""),"",IF(D271="","⚠ Escolha o tema",IF(COUNTIF('1. Temas'!$C$8:$C$37,D271)=0,"⚠ Tema não cadastrado","✔ OK")))</f>
        <v/>
      </c>
    </row>
    <row r="272">
      <c r="B272" s="40" t="n"/>
      <c r="C272" s="41" t="n"/>
      <c r="D272" s="42" t="n"/>
      <c r="E272" s="42" t="n"/>
      <c r="F272" s="43">
        <f>IF(AND(B272="",D272=""),"",IF(D272="","⚠ Escolha o tema",IF(COUNTIF('1. Temas'!$C$8:$C$37,D272)=0,"⚠ Tema não cadastrado","✔ OK")))</f>
        <v/>
      </c>
    </row>
    <row r="273">
      <c r="B273" s="40" t="n"/>
      <c r="C273" s="41" t="n"/>
      <c r="D273" s="42" t="n"/>
      <c r="E273" s="42" t="n"/>
      <c r="F273" s="43">
        <f>IF(AND(B273="",D273=""),"",IF(D273="","⚠ Escolha o tema",IF(COUNTIF('1. Temas'!$C$8:$C$37,D273)=0,"⚠ Tema não cadastrado","✔ OK")))</f>
        <v/>
      </c>
    </row>
    <row r="274">
      <c r="B274" s="40" t="n"/>
      <c r="C274" s="41" t="n"/>
      <c r="D274" s="42" t="n"/>
      <c r="E274" s="42" t="n"/>
      <c r="F274" s="43">
        <f>IF(AND(B274="",D274=""),"",IF(D274="","⚠ Escolha o tema",IF(COUNTIF('1. Temas'!$C$8:$C$37,D274)=0,"⚠ Tema não cadastrado","✔ OK")))</f>
        <v/>
      </c>
    </row>
    <row r="275">
      <c r="B275" s="40" t="n"/>
      <c r="C275" s="41" t="n"/>
      <c r="D275" s="42" t="n"/>
      <c r="E275" s="42" t="n"/>
      <c r="F275" s="43">
        <f>IF(AND(B275="",D275=""),"",IF(D275="","⚠ Escolha o tema",IF(COUNTIF('1. Temas'!$C$8:$C$37,D275)=0,"⚠ Tema não cadastrado","✔ OK")))</f>
        <v/>
      </c>
    </row>
    <row r="276">
      <c r="B276" s="40" t="n"/>
      <c r="C276" s="41" t="n"/>
      <c r="D276" s="42" t="n"/>
      <c r="E276" s="42" t="n"/>
      <c r="F276" s="43">
        <f>IF(AND(B276="",D276=""),"",IF(D276="","⚠ Escolha o tema",IF(COUNTIF('1. Temas'!$C$8:$C$37,D276)=0,"⚠ Tema não cadastrado","✔ OK")))</f>
        <v/>
      </c>
    </row>
    <row r="277">
      <c r="B277" s="40" t="n"/>
      <c r="C277" s="41" t="n"/>
      <c r="D277" s="42" t="n"/>
      <c r="E277" s="42" t="n"/>
      <c r="F277" s="43">
        <f>IF(AND(B277="",D277=""),"",IF(D277="","⚠ Escolha o tema",IF(COUNTIF('1. Temas'!$C$8:$C$37,D277)=0,"⚠ Tema não cadastrado","✔ OK")))</f>
        <v/>
      </c>
    </row>
    <row r="278">
      <c r="B278" s="40" t="n"/>
      <c r="C278" s="41" t="n"/>
      <c r="D278" s="42" t="n"/>
      <c r="E278" s="42" t="n"/>
      <c r="F278" s="43">
        <f>IF(AND(B278="",D278=""),"",IF(D278="","⚠ Escolha o tema",IF(COUNTIF('1. Temas'!$C$8:$C$37,D278)=0,"⚠ Tema não cadastrado","✔ OK")))</f>
        <v/>
      </c>
    </row>
    <row r="279">
      <c r="B279" s="40" t="n"/>
      <c r="C279" s="41" t="n"/>
      <c r="D279" s="42" t="n"/>
      <c r="E279" s="42" t="n"/>
      <c r="F279" s="43">
        <f>IF(AND(B279="",D279=""),"",IF(D279="","⚠ Escolha o tema",IF(COUNTIF('1. Temas'!$C$8:$C$37,D279)=0,"⚠ Tema não cadastrado","✔ OK")))</f>
        <v/>
      </c>
    </row>
    <row r="280">
      <c r="B280" s="40" t="n"/>
      <c r="C280" s="41" t="n"/>
      <c r="D280" s="42" t="n"/>
      <c r="E280" s="42" t="n"/>
      <c r="F280" s="43">
        <f>IF(AND(B280="",D280=""),"",IF(D280="","⚠ Escolha o tema",IF(COUNTIF('1. Temas'!$C$8:$C$37,D280)=0,"⚠ Tema não cadastrado","✔ OK")))</f>
        <v/>
      </c>
    </row>
    <row r="281">
      <c r="B281" s="40" t="n"/>
      <c r="C281" s="41" t="n"/>
      <c r="D281" s="42" t="n"/>
      <c r="E281" s="42" t="n"/>
      <c r="F281" s="43">
        <f>IF(AND(B281="",D281=""),"",IF(D281="","⚠ Escolha o tema",IF(COUNTIF('1. Temas'!$C$8:$C$37,D281)=0,"⚠ Tema não cadastrado","✔ OK")))</f>
        <v/>
      </c>
    </row>
    <row r="282">
      <c r="B282" s="40" t="n"/>
      <c r="C282" s="41" t="n"/>
      <c r="D282" s="42" t="n"/>
      <c r="E282" s="42" t="n"/>
      <c r="F282" s="43">
        <f>IF(AND(B282="",D282=""),"",IF(D282="","⚠ Escolha o tema",IF(COUNTIF('1. Temas'!$C$8:$C$37,D282)=0,"⚠ Tema não cadastrado","✔ OK")))</f>
        <v/>
      </c>
    </row>
    <row r="283">
      <c r="B283" s="40" t="n"/>
      <c r="C283" s="41" t="n"/>
      <c r="D283" s="42" t="n"/>
      <c r="E283" s="42" t="n"/>
      <c r="F283" s="43">
        <f>IF(AND(B283="",D283=""),"",IF(D283="","⚠ Escolha o tema",IF(COUNTIF('1. Temas'!$C$8:$C$37,D283)=0,"⚠ Tema não cadastrado","✔ OK")))</f>
        <v/>
      </c>
    </row>
    <row r="284">
      <c r="B284" s="40" t="n"/>
      <c r="C284" s="41" t="n"/>
      <c r="D284" s="42" t="n"/>
      <c r="E284" s="42" t="n"/>
      <c r="F284" s="43">
        <f>IF(AND(B284="",D284=""),"",IF(D284="","⚠ Escolha o tema",IF(COUNTIF('1. Temas'!$C$8:$C$37,D284)=0,"⚠ Tema não cadastrado","✔ OK")))</f>
        <v/>
      </c>
    </row>
    <row r="285">
      <c r="B285" s="40" t="n"/>
      <c r="C285" s="41" t="n"/>
      <c r="D285" s="42" t="n"/>
      <c r="E285" s="42" t="n"/>
      <c r="F285" s="43">
        <f>IF(AND(B285="",D285=""),"",IF(D285="","⚠ Escolha o tema",IF(COUNTIF('1. Temas'!$C$8:$C$37,D285)=0,"⚠ Tema não cadastrado","✔ OK")))</f>
        <v/>
      </c>
    </row>
    <row r="286">
      <c r="B286" s="40" t="n"/>
      <c r="C286" s="41" t="n"/>
      <c r="D286" s="42" t="n"/>
      <c r="E286" s="42" t="n"/>
      <c r="F286" s="43">
        <f>IF(AND(B286="",D286=""),"",IF(D286="","⚠ Escolha o tema",IF(COUNTIF('1. Temas'!$C$8:$C$37,D286)=0,"⚠ Tema não cadastrado","✔ OK")))</f>
        <v/>
      </c>
    </row>
    <row r="287">
      <c r="B287" s="40" t="n"/>
      <c r="C287" s="41" t="n"/>
      <c r="D287" s="42" t="n"/>
      <c r="E287" s="42" t="n"/>
      <c r="F287" s="43">
        <f>IF(AND(B287="",D287=""),"",IF(D287="","⚠ Escolha o tema",IF(COUNTIF('1. Temas'!$C$8:$C$37,D287)=0,"⚠ Tema não cadastrado","✔ OK")))</f>
        <v/>
      </c>
    </row>
    <row r="288">
      <c r="B288" s="40" t="n"/>
      <c r="C288" s="41" t="n"/>
      <c r="D288" s="42" t="n"/>
      <c r="E288" s="42" t="n"/>
      <c r="F288" s="43">
        <f>IF(AND(B288="",D288=""),"",IF(D288="","⚠ Escolha o tema",IF(COUNTIF('1. Temas'!$C$8:$C$37,D288)=0,"⚠ Tema não cadastrado","✔ OK")))</f>
        <v/>
      </c>
    </row>
    <row r="289">
      <c r="B289" s="40" t="n"/>
      <c r="C289" s="41" t="n"/>
      <c r="D289" s="42" t="n"/>
      <c r="E289" s="42" t="n"/>
      <c r="F289" s="43">
        <f>IF(AND(B289="",D289=""),"",IF(D289="","⚠ Escolha o tema",IF(COUNTIF('1. Temas'!$C$8:$C$37,D289)=0,"⚠ Tema não cadastrado","✔ OK")))</f>
        <v/>
      </c>
    </row>
    <row r="290">
      <c r="B290" s="40" t="n"/>
      <c r="C290" s="41" t="n"/>
      <c r="D290" s="42" t="n"/>
      <c r="E290" s="42" t="n"/>
      <c r="F290" s="43">
        <f>IF(AND(B290="",D290=""),"",IF(D290="","⚠ Escolha o tema",IF(COUNTIF('1. Temas'!$C$8:$C$37,D290)=0,"⚠ Tema não cadastrado","✔ OK")))</f>
        <v/>
      </c>
    </row>
    <row r="291">
      <c r="B291" s="40" t="n"/>
      <c r="C291" s="41" t="n"/>
      <c r="D291" s="42" t="n"/>
      <c r="E291" s="42" t="n"/>
      <c r="F291" s="43">
        <f>IF(AND(B291="",D291=""),"",IF(D291="","⚠ Escolha o tema",IF(COUNTIF('1. Temas'!$C$8:$C$37,D291)=0,"⚠ Tema não cadastrado","✔ OK")))</f>
        <v/>
      </c>
    </row>
    <row r="292">
      <c r="B292" s="40" t="n"/>
      <c r="C292" s="41" t="n"/>
      <c r="D292" s="42" t="n"/>
      <c r="E292" s="42" t="n"/>
      <c r="F292" s="43">
        <f>IF(AND(B292="",D292=""),"",IF(D292="","⚠ Escolha o tema",IF(COUNTIF('1. Temas'!$C$8:$C$37,D292)=0,"⚠ Tema não cadastrado","✔ OK")))</f>
        <v/>
      </c>
    </row>
    <row r="293">
      <c r="B293" s="40" t="n"/>
      <c r="C293" s="41" t="n"/>
      <c r="D293" s="42" t="n"/>
      <c r="E293" s="42" t="n"/>
      <c r="F293" s="43">
        <f>IF(AND(B293="",D293=""),"",IF(D293="","⚠ Escolha o tema",IF(COUNTIF('1. Temas'!$C$8:$C$37,D293)=0,"⚠ Tema não cadastrado","✔ OK")))</f>
        <v/>
      </c>
    </row>
    <row r="294">
      <c r="B294" s="40" t="n"/>
      <c r="C294" s="41" t="n"/>
      <c r="D294" s="42" t="n"/>
      <c r="E294" s="42" t="n"/>
      <c r="F294" s="43">
        <f>IF(AND(B294="",D294=""),"",IF(D294="","⚠ Escolha o tema",IF(COUNTIF('1. Temas'!$C$8:$C$37,D294)=0,"⚠ Tema não cadastrado","✔ OK")))</f>
        <v/>
      </c>
    </row>
    <row r="295">
      <c r="B295" s="40" t="n"/>
      <c r="C295" s="41" t="n"/>
      <c r="D295" s="42" t="n"/>
      <c r="E295" s="42" t="n"/>
      <c r="F295" s="43">
        <f>IF(AND(B295="",D295=""),"",IF(D295="","⚠ Escolha o tema",IF(COUNTIF('1. Temas'!$C$8:$C$37,D295)=0,"⚠ Tema não cadastrado","✔ OK")))</f>
        <v/>
      </c>
    </row>
    <row r="296">
      <c r="B296" s="40" t="n"/>
      <c r="C296" s="41" t="n"/>
      <c r="D296" s="42" t="n"/>
      <c r="E296" s="42" t="n"/>
      <c r="F296" s="43">
        <f>IF(AND(B296="",D296=""),"",IF(D296="","⚠ Escolha o tema",IF(COUNTIF('1. Temas'!$C$8:$C$37,D296)=0,"⚠ Tema não cadastrado","✔ OK")))</f>
        <v/>
      </c>
    </row>
    <row r="297">
      <c r="B297" s="40" t="n"/>
      <c r="C297" s="41" t="n"/>
      <c r="D297" s="42" t="n"/>
      <c r="E297" s="42" t="n"/>
      <c r="F297" s="43">
        <f>IF(AND(B297="",D297=""),"",IF(D297="","⚠ Escolha o tema",IF(COUNTIF('1. Temas'!$C$8:$C$37,D297)=0,"⚠ Tema não cadastrado","✔ OK")))</f>
        <v/>
      </c>
    </row>
    <row r="298">
      <c r="B298" s="40" t="n"/>
      <c r="C298" s="41" t="n"/>
      <c r="D298" s="42" t="n"/>
      <c r="E298" s="42" t="n"/>
      <c r="F298" s="43">
        <f>IF(AND(B298="",D298=""),"",IF(D298="","⚠ Escolha o tema",IF(COUNTIF('1. Temas'!$C$8:$C$37,D298)=0,"⚠ Tema não cadastrado","✔ OK")))</f>
        <v/>
      </c>
    </row>
    <row r="299">
      <c r="B299" s="40" t="n"/>
      <c r="C299" s="41" t="n"/>
      <c r="D299" s="42" t="n"/>
      <c r="E299" s="42" t="n"/>
      <c r="F299" s="43">
        <f>IF(AND(B299="",D299=""),"",IF(D299="","⚠ Escolha o tema",IF(COUNTIF('1. Temas'!$C$8:$C$37,D299)=0,"⚠ Tema não cadastrado","✔ OK")))</f>
        <v/>
      </c>
    </row>
    <row r="300">
      <c r="B300" s="40" t="n"/>
      <c r="C300" s="41" t="n"/>
      <c r="D300" s="42" t="n"/>
      <c r="E300" s="42" t="n"/>
      <c r="F300" s="43">
        <f>IF(AND(B300="",D300=""),"",IF(D300="","⚠ Escolha o tema",IF(COUNTIF('1. Temas'!$C$8:$C$37,D300)=0,"⚠ Tema não cadastrado","✔ OK")))</f>
        <v/>
      </c>
    </row>
    <row r="301">
      <c r="B301" s="40" t="n"/>
      <c r="C301" s="41" t="n"/>
      <c r="D301" s="42" t="n"/>
      <c r="E301" s="42" t="n"/>
      <c r="F301" s="43">
        <f>IF(AND(B301="",D301=""),"",IF(D301="","⚠ Escolha o tema",IF(COUNTIF('1. Temas'!$C$8:$C$37,D301)=0,"⚠ Tema não cadastrado","✔ OK")))</f>
        <v/>
      </c>
    </row>
    <row r="302">
      <c r="B302" s="40" t="n"/>
      <c r="C302" s="41" t="n"/>
      <c r="D302" s="42" t="n"/>
      <c r="E302" s="42" t="n"/>
      <c r="F302" s="43">
        <f>IF(AND(B302="",D302=""),"",IF(D302="","⚠ Escolha o tema",IF(COUNTIF('1. Temas'!$C$8:$C$37,D302)=0,"⚠ Tema não cadastrado","✔ OK")))</f>
        <v/>
      </c>
    </row>
    <row r="303">
      <c r="B303" s="40" t="n"/>
      <c r="C303" s="41" t="n"/>
      <c r="D303" s="42" t="n"/>
      <c r="E303" s="42" t="n"/>
      <c r="F303" s="43">
        <f>IF(AND(B303="",D303=""),"",IF(D303="","⚠ Escolha o tema",IF(COUNTIF('1. Temas'!$C$8:$C$37,D303)=0,"⚠ Tema não cadastrado","✔ OK")))</f>
        <v/>
      </c>
    </row>
    <row r="304">
      <c r="B304" s="40" t="n"/>
      <c r="C304" s="41" t="n"/>
      <c r="D304" s="42" t="n"/>
      <c r="E304" s="42" t="n"/>
      <c r="F304" s="43">
        <f>IF(AND(B304="",D304=""),"",IF(D304="","⚠ Escolha o tema",IF(COUNTIF('1. Temas'!$C$8:$C$37,D304)=0,"⚠ Tema não cadastrado","✔ OK")))</f>
        <v/>
      </c>
    </row>
    <row r="305">
      <c r="B305" s="40" t="n"/>
      <c r="C305" s="41" t="n"/>
      <c r="D305" s="42" t="n"/>
      <c r="E305" s="42" t="n"/>
      <c r="F305" s="43">
        <f>IF(AND(B305="",D305=""),"",IF(D305="","⚠ Escolha o tema",IF(COUNTIF('1. Temas'!$C$8:$C$37,D305)=0,"⚠ Tema não cadastrado","✔ OK")))</f>
        <v/>
      </c>
    </row>
    <row r="306">
      <c r="B306" s="40" t="n"/>
      <c r="C306" s="41" t="n"/>
      <c r="D306" s="42" t="n"/>
      <c r="E306" s="42" t="n"/>
      <c r="F306" s="43">
        <f>IF(AND(B306="",D306=""),"",IF(D306="","⚠ Escolha o tema",IF(COUNTIF('1. Temas'!$C$8:$C$37,D306)=0,"⚠ Tema não cadastrado","✔ OK")))</f>
        <v/>
      </c>
    </row>
    <row r="307">
      <c r="B307" s="40" t="n"/>
      <c r="C307" s="41" t="n"/>
      <c r="D307" s="42" t="n"/>
      <c r="E307" s="42" t="n"/>
      <c r="F307" s="43">
        <f>IF(AND(B307="",D307=""),"",IF(D307="","⚠ Escolha o tema",IF(COUNTIF('1. Temas'!$C$8:$C$37,D307)=0,"⚠ Tema não cadastrado","✔ OK")))</f>
        <v/>
      </c>
    </row>
    <row r="308">
      <c r="B308" s="40" t="n"/>
      <c r="C308" s="41" t="n"/>
      <c r="D308" s="42" t="n"/>
      <c r="E308" s="42" t="n"/>
      <c r="F308" s="43">
        <f>IF(AND(B308="",D308=""),"",IF(D308="","⚠ Escolha o tema",IF(COUNTIF('1. Temas'!$C$8:$C$37,D308)=0,"⚠ Tema não cadastrado","✔ OK")))</f>
        <v/>
      </c>
    </row>
    <row r="309">
      <c r="B309" s="40" t="n"/>
      <c r="C309" s="41" t="n"/>
      <c r="D309" s="42" t="n"/>
      <c r="E309" s="42" t="n"/>
      <c r="F309" s="43">
        <f>IF(AND(B309="",D309=""),"",IF(D309="","⚠ Escolha o tema",IF(COUNTIF('1. Temas'!$C$8:$C$37,D309)=0,"⚠ Tema não cadastrado","✔ OK")))</f>
        <v/>
      </c>
    </row>
    <row r="310">
      <c r="B310" s="40" t="n"/>
      <c r="C310" s="41" t="n"/>
      <c r="D310" s="42" t="n"/>
      <c r="E310" s="42" t="n"/>
      <c r="F310" s="43">
        <f>IF(AND(B310="",D310=""),"",IF(D310="","⚠ Escolha o tema",IF(COUNTIF('1. Temas'!$C$8:$C$37,D310)=0,"⚠ Tema não cadastrado","✔ OK")))</f>
        <v/>
      </c>
    </row>
    <row r="311">
      <c r="B311" s="40" t="n"/>
      <c r="C311" s="41" t="n"/>
      <c r="D311" s="42" t="n"/>
      <c r="E311" s="42" t="n"/>
      <c r="F311" s="43">
        <f>IF(AND(B311="",D311=""),"",IF(D311="","⚠ Escolha o tema",IF(COUNTIF('1. Temas'!$C$8:$C$37,D311)=0,"⚠ Tema não cadastrado","✔ OK")))</f>
        <v/>
      </c>
    </row>
    <row r="312">
      <c r="B312" s="40" t="n"/>
      <c r="C312" s="41" t="n"/>
      <c r="D312" s="42" t="n"/>
      <c r="E312" s="42" t="n"/>
      <c r="F312" s="43">
        <f>IF(AND(B312="",D312=""),"",IF(D312="","⚠ Escolha o tema",IF(COUNTIF('1. Temas'!$C$8:$C$37,D312)=0,"⚠ Tema não cadastrado","✔ OK")))</f>
        <v/>
      </c>
    </row>
    <row r="313">
      <c r="B313" s="40" t="n"/>
      <c r="C313" s="41" t="n"/>
      <c r="D313" s="42" t="n"/>
      <c r="E313" s="42" t="n"/>
      <c r="F313" s="43">
        <f>IF(AND(B313="",D313=""),"",IF(D313="","⚠ Escolha o tema",IF(COUNTIF('1. Temas'!$C$8:$C$37,D313)=0,"⚠ Tema não cadastrado","✔ OK")))</f>
        <v/>
      </c>
    </row>
    <row r="314">
      <c r="B314" s="40" t="n"/>
      <c r="C314" s="41" t="n"/>
      <c r="D314" s="42" t="n"/>
      <c r="E314" s="42" t="n"/>
      <c r="F314" s="43">
        <f>IF(AND(B314="",D314=""),"",IF(D314="","⚠ Escolha o tema",IF(COUNTIF('1. Temas'!$C$8:$C$37,D314)=0,"⚠ Tema não cadastrado","✔ OK")))</f>
        <v/>
      </c>
    </row>
    <row r="315">
      <c r="B315" s="40" t="n"/>
      <c r="C315" s="41" t="n"/>
      <c r="D315" s="42" t="n"/>
      <c r="E315" s="42" t="n"/>
      <c r="F315" s="43">
        <f>IF(AND(B315="",D315=""),"",IF(D315="","⚠ Escolha o tema",IF(COUNTIF('1. Temas'!$C$8:$C$37,D315)=0,"⚠ Tema não cadastrado","✔ OK")))</f>
        <v/>
      </c>
    </row>
    <row r="316">
      <c r="B316" s="40" t="n"/>
      <c r="C316" s="41" t="n"/>
      <c r="D316" s="42" t="n"/>
      <c r="E316" s="42" t="n"/>
      <c r="F316" s="43">
        <f>IF(AND(B316="",D316=""),"",IF(D316="","⚠ Escolha o tema",IF(COUNTIF('1. Temas'!$C$8:$C$37,D316)=0,"⚠ Tema não cadastrado","✔ OK")))</f>
        <v/>
      </c>
    </row>
    <row r="317">
      <c r="B317" s="40" t="n"/>
      <c r="C317" s="41" t="n"/>
      <c r="D317" s="42" t="n"/>
      <c r="E317" s="42" t="n"/>
      <c r="F317" s="43">
        <f>IF(AND(B317="",D317=""),"",IF(D317="","⚠ Escolha o tema",IF(COUNTIF('1. Temas'!$C$8:$C$37,D317)=0,"⚠ Tema não cadastrado","✔ OK")))</f>
        <v/>
      </c>
    </row>
    <row r="318">
      <c r="B318" s="40" t="n"/>
      <c r="C318" s="41" t="n"/>
      <c r="D318" s="42" t="n"/>
      <c r="E318" s="42" t="n"/>
      <c r="F318" s="43">
        <f>IF(AND(B318="",D318=""),"",IF(D318="","⚠ Escolha o tema",IF(COUNTIF('1. Temas'!$C$8:$C$37,D318)=0,"⚠ Tema não cadastrado","✔ OK")))</f>
        <v/>
      </c>
    </row>
    <row r="319">
      <c r="B319" s="40" t="n"/>
      <c r="C319" s="41" t="n"/>
      <c r="D319" s="42" t="n"/>
      <c r="E319" s="42" t="n"/>
      <c r="F319" s="43">
        <f>IF(AND(B319="",D319=""),"",IF(D319="","⚠ Escolha o tema",IF(COUNTIF('1. Temas'!$C$8:$C$37,D319)=0,"⚠ Tema não cadastrado","✔ OK")))</f>
        <v/>
      </c>
    </row>
    <row r="320">
      <c r="B320" s="40" t="n"/>
      <c r="C320" s="41" t="n"/>
      <c r="D320" s="42" t="n"/>
      <c r="E320" s="42" t="n"/>
      <c r="F320" s="43">
        <f>IF(AND(B320="",D320=""),"",IF(D320="","⚠ Escolha o tema",IF(COUNTIF('1. Temas'!$C$8:$C$37,D320)=0,"⚠ Tema não cadastrado","✔ OK")))</f>
        <v/>
      </c>
    </row>
    <row r="321">
      <c r="B321" s="40" t="n"/>
      <c r="C321" s="41" t="n"/>
      <c r="D321" s="42" t="n"/>
      <c r="E321" s="42" t="n"/>
      <c r="F321" s="43">
        <f>IF(AND(B321="",D321=""),"",IF(D321="","⚠ Escolha o tema",IF(COUNTIF('1. Temas'!$C$8:$C$37,D321)=0,"⚠ Tema não cadastrado","✔ OK")))</f>
        <v/>
      </c>
    </row>
    <row r="322">
      <c r="B322" s="40" t="n"/>
      <c r="C322" s="41" t="n"/>
      <c r="D322" s="42" t="n"/>
      <c r="E322" s="42" t="n"/>
      <c r="F322" s="43">
        <f>IF(AND(B322="",D322=""),"",IF(D322="","⚠ Escolha o tema",IF(COUNTIF('1. Temas'!$C$8:$C$37,D322)=0,"⚠ Tema não cadastrado","✔ OK")))</f>
        <v/>
      </c>
    </row>
    <row r="323">
      <c r="B323" s="40" t="n"/>
      <c r="C323" s="41" t="n"/>
      <c r="D323" s="42" t="n"/>
      <c r="E323" s="42" t="n"/>
      <c r="F323" s="43">
        <f>IF(AND(B323="",D323=""),"",IF(D323="","⚠ Escolha o tema",IF(COUNTIF('1. Temas'!$C$8:$C$37,D323)=0,"⚠ Tema não cadastrado","✔ OK")))</f>
        <v/>
      </c>
    </row>
    <row r="324">
      <c r="B324" s="40" t="n"/>
      <c r="C324" s="41" t="n"/>
      <c r="D324" s="42" t="n"/>
      <c r="E324" s="42" t="n"/>
      <c r="F324" s="43">
        <f>IF(AND(B324="",D324=""),"",IF(D324="","⚠ Escolha o tema",IF(COUNTIF('1. Temas'!$C$8:$C$37,D324)=0,"⚠ Tema não cadastrado","✔ OK")))</f>
        <v/>
      </c>
    </row>
    <row r="325">
      <c r="B325" s="40" t="n"/>
      <c r="C325" s="41" t="n"/>
      <c r="D325" s="42" t="n"/>
      <c r="E325" s="42" t="n"/>
      <c r="F325" s="43">
        <f>IF(AND(B325="",D325=""),"",IF(D325="","⚠ Escolha o tema",IF(COUNTIF('1. Temas'!$C$8:$C$37,D325)=0,"⚠ Tema não cadastrado","✔ OK")))</f>
        <v/>
      </c>
    </row>
    <row r="326">
      <c r="B326" s="40" t="n"/>
      <c r="C326" s="41" t="n"/>
      <c r="D326" s="42" t="n"/>
      <c r="E326" s="42" t="n"/>
      <c r="F326" s="43">
        <f>IF(AND(B326="",D326=""),"",IF(D326="","⚠ Escolha o tema",IF(COUNTIF('1. Temas'!$C$8:$C$37,D326)=0,"⚠ Tema não cadastrado","✔ OK")))</f>
        <v/>
      </c>
    </row>
    <row r="327">
      <c r="B327" s="40" t="n"/>
      <c r="C327" s="41" t="n"/>
      <c r="D327" s="42" t="n"/>
      <c r="E327" s="42" t="n"/>
      <c r="F327" s="43">
        <f>IF(AND(B327="",D327=""),"",IF(D327="","⚠ Escolha o tema",IF(COUNTIF('1. Temas'!$C$8:$C$37,D327)=0,"⚠ Tema não cadastrado","✔ OK")))</f>
        <v/>
      </c>
    </row>
    <row r="328">
      <c r="B328" s="40" t="n"/>
      <c r="C328" s="41" t="n"/>
      <c r="D328" s="42" t="n"/>
      <c r="E328" s="42" t="n"/>
      <c r="F328" s="43">
        <f>IF(AND(B328="",D328=""),"",IF(D328="","⚠ Escolha o tema",IF(COUNTIF('1. Temas'!$C$8:$C$37,D328)=0,"⚠ Tema não cadastrado","✔ OK")))</f>
        <v/>
      </c>
    </row>
    <row r="329">
      <c r="B329" s="40" t="n"/>
      <c r="C329" s="41" t="n"/>
      <c r="D329" s="42" t="n"/>
      <c r="E329" s="42" t="n"/>
      <c r="F329" s="43">
        <f>IF(AND(B329="",D329=""),"",IF(D329="","⚠ Escolha o tema",IF(COUNTIF('1. Temas'!$C$8:$C$37,D329)=0,"⚠ Tema não cadastrado","✔ OK")))</f>
        <v/>
      </c>
    </row>
    <row r="330">
      <c r="B330" s="40" t="n"/>
      <c r="C330" s="41" t="n"/>
      <c r="D330" s="42" t="n"/>
      <c r="E330" s="42" t="n"/>
      <c r="F330" s="43">
        <f>IF(AND(B330="",D330=""),"",IF(D330="","⚠ Escolha o tema",IF(COUNTIF('1. Temas'!$C$8:$C$37,D330)=0,"⚠ Tema não cadastrado","✔ OK")))</f>
        <v/>
      </c>
    </row>
    <row r="331">
      <c r="B331" s="40" t="n"/>
      <c r="C331" s="41" t="n"/>
      <c r="D331" s="42" t="n"/>
      <c r="E331" s="42" t="n"/>
      <c r="F331" s="43">
        <f>IF(AND(B331="",D331=""),"",IF(D331="","⚠ Escolha o tema",IF(COUNTIF('1. Temas'!$C$8:$C$37,D331)=0,"⚠ Tema não cadastrado","✔ OK")))</f>
        <v/>
      </c>
    </row>
    <row r="332">
      <c r="B332" s="40" t="n"/>
      <c r="C332" s="41" t="n"/>
      <c r="D332" s="42" t="n"/>
      <c r="E332" s="42" t="n"/>
      <c r="F332" s="43">
        <f>IF(AND(B332="",D332=""),"",IF(D332="","⚠ Escolha o tema",IF(COUNTIF('1. Temas'!$C$8:$C$37,D332)=0,"⚠ Tema não cadastrado","✔ OK")))</f>
        <v/>
      </c>
    </row>
    <row r="333">
      <c r="B333" s="40" t="n"/>
      <c r="C333" s="41" t="n"/>
      <c r="D333" s="42" t="n"/>
      <c r="E333" s="42" t="n"/>
      <c r="F333" s="43">
        <f>IF(AND(B333="",D333=""),"",IF(D333="","⚠ Escolha o tema",IF(COUNTIF('1. Temas'!$C$8:$C$37,D333)=0,"⚠ Tema não cadastrado","✔ OK")))</f>
        <v/>
      </c>
    </row>
    <row r="334">
      <c r="B334" s="40" t="n"/>
      <c r="C334" s="41" t="n"/>
      <c r="D334" s="42" t="n"/>
      <c r="E334" s="42" t="n"/>
      <c r="F334" s="43">
        <f>IF(AND(B334="",D334=""),"",IF(D334="","⚠ Escolha o tema",IF(COUNTIF('1. Temas'!$C$8:$C$37,D334)=0,"⚠ Tema não cadastrado","✔ OK")))</f>
        <v/>
      </c>
    </row>
    <row r="335">
      <c r="B335" s="40" t="n"/>
      <c r="C335" s="41" t="n"/>
      <c r="D335" s="42" t="n"/>
      <c r="E335" s="42" t="n"/>
      <c r="F335" s="43">
        <f>IF(AND(B335="",D335=""),"",IF(D335="","⚠ Escolha o tema",IF(COUNTIF('1. Temas'!$C$8:$C$37,D335)=0,"⚠ Tema não cadastrado","✔ OK")))</f>
        <v/>
      </c>
    </row>
    <row r="336">
      <c r="B336" s="40" t="n"/>
      <c r="C336" s="41" t="n"/>
      <c r="D336" s="42" t="n"/>
      <c r="E336" s="42" t="n"/>
      <c r="F336" s="43">
        <f>IF(AND(B336="",D336=""),"",IF(D336="","⚠ Escolha o tema",IF(COUNTIF('1. Temas'!$C$8:$C$37,D336)=0,"⚠ Tema não cadastrado","✔ OK")))</f>
        <v/>
      </c>
    </row>
    <row r="337">
      <c r="B337" s="40" t="n"/>
      <c r="C337" s="41" t="n"/>
      <c r="D337" s="42" t="n"/>
      <c r="E337" s="42" t="n"/>
      <c r="F337" s="43">
        <f>IF(AND(B337="",D337=""),"",IF(D337="","⚠ Escolha o tema",IF(COUNTIF('1. Temas'!$C$8:$C$37,D337)=0,"⚠ Tema não cadastrado","✔ OK")))</f>
        <v/>
      </c>
    </row>
    <row r="338">
      <c r="B338" s="40" t="n"/>
      <c r="C338" s="41" t="n"/>
      <c r="D338" s="42" t="n"/>
      <c r="E338" s="42" t="n"/>
      <c r="F338" s="43">
        <f>IF(AND(B338="",D338=""),"",IF(D338="","⚠ Escolha o tema",IF(COUNTIF('1. Temas'!$C$8:$C$37,D338)=0,"⚠ Tema não cadastrado","✔ OK")))</f>
        <v/>
      </c>
    </row>
    <row r="339">
      <c r="B339" s="40" t="n"/>
      <c r="C339" s="41" t="n"/>
      <c r="D339" s="42" t="n"/>
      <c r="E339" s="42" t="n"/>
      <c r="F339" s="43">
        <f>IF(AND(B339="",D339=""),"",IF(D339="","⚠ Escolha o tema",IF(COUNTIF('1. Temas'!$C$8:$C$37,D339)=0,"⚠ Tema não cadastrado","✔ OK")))</f>
        <v/>
      </c>
    </row>
    <row r="340">
      <c r="B340" s="40" t="n"/>
      <c r="C340" s="41" t="n"/>
      <c r="D340" s="42" t="n"/>
      <c r="E340" s="42" t="n"/>
      <c r="F340" s="43">
        <f>IF(AND(B340="",D340=""),"",IF(D340="","⚠ Escolha o tema",IF(COUNTIF('1. Temas'!$C$8:$C$37,D340)=0,"⚠ Tema não cadastrado","✔ OK")))</f>
        <v/>
      </c>
    </row>
    <row r="341">
      <c r="B341" s="40" t="n"/>
      <c r="C341" s="41" t="n"/>
      <c r="D341" s="42" t="n"/>
      <c r="E341" s="42" t="n"/>
      <c r="F341" s="43">
        <f>IF(AND(B341="",D341=""),"",IF(D341="","⚠ Escolha o tema",IF(COUNTIF('1. Temas'!$C$8:$C$37,D341)=0,"⚠ Tema não cadastrado","✔ OK")))</f>
        <v/>
      </c>
    </row>
    <row r="342">
      <c r="B342" s="40" t="n"/>
      <c r="C342" s="41" t="n"/>
      <c r="D342" s="42" t="n"/>
      <c r="E342" s="42" t="n"/>
      <c r="F342" s="43">
        <f>IF(AND(B342="",D342=""),"",IF(D342="","⚠ Escolha o tema",IF(COUNTIF('1. Temas'!$C$8:$C$37,D342)=0,"⚠ Tema não cadastrado","✔ OK")))</f>
        <v/>
      </c>
    </row>
    <row r="343">
      <c r="B343" s="40" t="n"/>
      <c r="C343" s="41" t="n"/>
      <c r="D343" s="42" t="n"/>
      <c r="E343" s="42" t="n"/>
      <c r="F343" s="43">
        <f>IF(AND(B343="",D343=""),"",IF(D343="","⚠ Escolha o tema",IF(COUNTIF('1. Temas'!$C$8:$C$37,D343)=0,"⚠ Tema não cadastrado","✔ OK")))</f>
        <v/>
      </c>
    </row>
    <row r="344">
      <c r="B344" s="40" t="n"/>
      <c r="C344" s="41" t="n"/>
      <c r="D344" s="42" t="n"/>
      <c r="E344" s="42" t="n"/>
      <c r="F344" s="43">
        <f>IF(AND(B344="",D344=""),"",IF(D344="","⚠ Escolha o tema",IF(COUNTIF('1. Temas'!$C$8:$C$37,D344)=0,"⚠ Tema não cadastrado","✔ OK")))</f>
        <v/>
      </c>
    </row>
    <row r="345">
      <c r="B345" s="40" t="n"/>
      <c r="C345" s="41" t="n"/>
      <c r="D345" s="42" t="n"/>
      <c r="E345" s="42" t="n"/>
      <c r="F345" s="43">
        <f>IF(AND(B345="",D345=""),"",IF(D345="","⚠ Escolha o tema",IF(COUNTIF('1. Temas'!$C$8:$C$37,D345)=0,"⚠ Tema não cadastrado","✔ OK")))</f>
        <v/>
      </c>
    </row>
    <row r="346">
      <c r="B346" s="40" t="n"/>
      <c r="C346" s="41" t="n"/>
      <c r="D346" s="42" t="n"/>
      <c r="E346" s="42" t="n"/>
      <c r="F346" s="43">
        <f>IF(AND(B346="",D346=""),"",IF(D346="","⚠ Escolha o tema",IF(COUNTIF('1. Temas'!$C$8:$C$37,D346)=0,"⚠ Tema não cadastrado","✔ OK")))</f>
        <v/>
      </c>
    </row>
    <row r="347">
      <c r="B347" s="40" t="n"/>
      <c r="C347" s="41" t="n"/>
      <c r="D347" s="42" t="n"/>
      <c r="E347" s="42" t="n"/>
      <c r="F347" s="43">
        <f>IF(AND(B347="",D347=""),"",IF(D347="","⚠ Escolha o tema",IF(COUNTIF('1. Temas'!$C$8:$C$37,D347)=0,"⚠ Tema não cadastrado","✔ OK")))</f>
        <v/>
      </c>
    </row>
    <row r="348">
      <c r="B348" s="40" t="n"/>
      <c r="C348" s="41" t="n"/>
      <c r="D348" s="42" t="n"/>
      <c r="E348" s="42" t="n"/>
      <c r="F348" s="43">
        <f>IF(AND(B348="",D348=""),"",IF(D348="","⚠ Escolha o tema",IF(COUNTIF('1. Temas'!$C$8:$C$37,D348)=0,"⚠ Tema não cadastrado","✔ OK")))</f>
        <v/>
      </c>
    </row>
    <row r="349">
      <c r="B349" s="40" t="n"/>
      <c r="C349" s="41" t="n"/>
      <c r="D349" s="42" t="n"/>
      <c r="E349" s="42" t="n"/>
      <c r="F349" s="43">
        <f>IF(AND(B349="",D349=""),"",IF(D349="","⚠ Escolha o tema",IF(COUNTIF('1. Temas'!$C$8:$C$37,D349)=0,"⚠ Tema não cadastrado","✔ OK")))</f>
        <v/>
      </c>
    </row>
    <row r="350">
      <c r="B350" s="40" t="n"/>
      <c r="C350" s="41" t="n"/>
      <c r="D350" s="42" t="n"/>
      <c r="E350" s="42" t="n"/>
      <c r="F350" s="43">
        <f>IF(AND(B350="",D350=""),"",IF(D350="","⚠ Escolha o tema",IF(COUNTIF('1. Temas'!$C$8:$C$37,D350)=0,"⚠ Tema não cadastrado","✔ OK")))</f>
        <v/>
      </c>
    </row>
    <row r="351">
      <c r="B351" s="40" t="n"/>
      <c r="C351" s="41" t="n"/>
      <c r="D351" s="42" t="n"/>
      <c r="E351" s="42" t="n"/>
      <c r="F351" s="43">
        <f>IF(AND(B351="",D351=""),"",IF(D351="","⚠ Escolha o tema",IF(COUNTIF('1. Temas'!$C$8:$C$37,D351)=0,"⚠ Tema não cadastrado","✔ OK")))</f>
        <v/>
      </c>
    </row>
    <row r="352">
      <c r="B352" s="40" t="n"/>
      <c r="C352" s="41" t="n"/>
      <c r="D352" s="42" t="n"/>
      <c r="E352" s="42" t="n"/>
      <c r="F352" s="43">
        <f>IF(AND(B352="",D352=""),"",IF(D352="","⚠ Escolha o tema",IF(COUNTIF('1. Temas'!$C$8:$C$37,D352)=0,"⚠ Tema não cadastrado","✔ OK")))</f>
        <v/>
      </c>
    </row>
    <row r="353">
      <c r="B353" s="40" t="n"/>
      <c r="C353" s="41" t="n"/>
      <c r="D353" s="42" t="n"/>
      <c r="E353" s="42" t="n"/>
      <c r="F353" s="43">
        <f>IF(AND(B353="",D353=""),"",IF(D353="","⚠ Escolha o tema",IF(COUNTIF('1. Temas'!$C$8:$C$37,D353)=0,"⚠ Tema não cadastrado","✔ OK")))</f>
        <v/>
      </c>
    </row>
    <row r="354">
      <c r="B354" s="40" t="n"/>
      <c r="C354" s="41" t="n"/>
      <c r="D354" s="42" t="n"/>
      <c r="E354" s="42" t="n"/>
      <c r="F354" s="43">
        <f>IF(AND(B354="",D354=""),"",IF(D354="","⚠ Escolha o tema",IF(COUNTIF('1. Temas'!$C$8:$C$37,D354)=0,"⚠ Tema não cadastrado","✔ OK")))</f>
        <v/>
      </c>
    </row>
    <row r="355">
      <c r="B355" s="40" t="n"/>
      <c r="C355" s="41" t="n"/>
      <c r="D355" s="42" t="n"/>
      <c r="E355" s="42" t="n"/>
      <c r="F355" s="43">
        <f>IF(AND(B355="",D355=""),"",IF(D355="","⚠ Escolha o tema",IF(COUNTIF('1. Temas'!$C$8:$C$37,D355)=0,"⚠ Tema não cadastrado","✔ OK")))</f>
        <v/>
      </c>
    </row>
    <row r="356">
      <c r="B356" s="40" t="n"/>
      <c r="C356" s="41" t="n"/>
      <c r="D356" s="42" t="n"/>
      <c r="E356" s="42" t="n"/>
      <c r="F356" s="43">
        <f>IF(AND(B356="",D356=""),"",IF(D356="","⚠ Escolha o tema",IF(COUNTIF('1. Temas'!$C$8:$C$37,D356)=0,"⚠ Tema não cadastrado","✔ OK")))</f>
        <v/>
      </c>
    </row>
    <row r="357">
      <c r="B357" s="40" t="n"/>
      <c r="C357" s="41" t="n"/>
      <c r="D357" s="42" t="n"/>
      <c r="E357" s="42" t="n"/>
      <c r="F357" s="43">
        <f>IF(AND(B357="",D357=""),"",IF(D357="","⚠ Escolha o tema",IF(COUNTIF('1. Temas'!$C$8:$C$37,D357)=0,"⚠ Tema não cadastrado","✔ OK")))</f>
        <v/>
      </c>
    </row>
    <row r="358">
      <c r="B358" s="40" t="n"/>
      <c r="C358" s="41" t="n"/>
      <c r="D358" s="42" t="n"/>
      <c r="E358" s="42" t="n"/>
      <c r="F358" s="43">
        <f>IF(AND(B358="",D358=""),"",IF(D358="","⚠ Escolha o tema",IF(COUNTIF('1. Temas'!$C$8:$C$37,D358)=0,"⚠ Tema não cadastrado","✔ OK")))</f>
        <v/>
      </c>
    </row>
    <row r="359">
      <c r="B359" s="40" t="n"/>
      <c r="C359" s="41" t="n"/>
      <c r="D359" s="42" t="n"/>
      <c r="E359" s="42" t="n"/>
      <c r="F359" s="43">
        <f>IF(AND(B359="",D359=""),"",IF(D359="","⚠ Escolha o tema",IF(COUNTIF('1. Temas'!$C$8:$C$37,D359)=0,"⚠ Tema não cadastrado","✔ OK")))</f>
        <v/>
      </c>
    </row>
    <row r="360">
      <c r="B360" s="40" t="n"/>
      <c r="C360" s="41" t="n"/>
      <c r="D360" s="42" t="n"/>
      <c r="E360" s="42" t="n"/>
      <c r="F360" s="43">
        <f>IF(AND(B360="",D360=""),"",IF(D360="","⚠ Escolha o tema",IF(COUNTIF('1. Temas'!$C$8:$C$37,D360)=0,"⚠ Tema não cadastrado","✔ OK")))</f>
        <v/>
      </c>
    </row>
    <row r="361">
      <c r="B361" s="40" t="n"/>
      <c r="C361" s="41" t="n"/>
      <c r="D361" s="42" t="n"/>
      <c r="E361" s="42" t="n"/>
      <c r="F361" s="43">
        <f>IF(AND(B361="",D361=""),"",IF(D361="","⚠ Escolha o tema",IF(COUNTIF('1. Temas'!$C$8:$C$37,D361)=0,"⚠ Tema não cadastrado","✔ OK")))</f>
        <v/>
      </c>
    </row>
    <row r="362">
      <c r="B362" s="40" t="n"/>
      <c r="C362" s="41" t="n"/>
      <c r="D362" s="42" t="n"/>
      <c r="E362" s="42" t="n"/>
      <c r="F362" s="43">
        <f>IF(AND(B362="",D362=""),"",IF(D362="","⚠ Escolha o tema",IF(COUNTIF('1. Temas'!$C$8:$C$37,D362)=0,"⚠ Tema não cadastrado","✔ OK")))</f>
        <v/>
      </c>
    </row>
    <row r="363">
      <c r="B363" s="40" t="n"/>
      <c r="C363" s="41" t="n"/>
      <c r="D363" s="42" t="n"/>
      <c r="E363" s="42" t="n"/>
      <c r="F363" s="43">
        <f>IF(AND(B363="",D363=""),"",IF(D363="","⚠ Escolha o tema",IF(COUNTIF('1. Temas'!$C$8:$C$37,D363)=0,"⚠ Tema não cadastrado","✔ OK")))</f>
        <v/>
      </c>
    </row>
    <row r="364">
      <c r="B364" s="40" t="n"/>
      <c r="C364" s="41" t="n"/>
      <c r="D364" s="42" t="n"/>
      <c r="E364" s="42" t="n"/>
      <c r="F364" s="43">
        <f>IF(AND(B364="",D364=""),"",IF(D364="","⚠ Escolha o tema",IF(COUNTIF('1. Temas'!$C$8:$C$37,D364)=0,"⚠ Tema não cadastrado","✔ OK")))</f>
        <v/>
      </c>
    </row>
    <row r="365">
      <c r="B365" s="40" t="n"/>
      <c r="C365" s="41" t="n"/>
      <c r="D365" s="42" t="n"/>
      <c r="E365" s="42" t="n"/>
      <c r="F365" s="43">
        <f>IF(AND(B365="",D365=""),"",IF(D365="","⚠ Escolha o tema",IF(COUNTIF('1. Temas'!$C$8:$C$37,D365)=0,"⚠ Tema não cadastrado","✔ OK")))</f>
        <v/>
      </c>
    </row>
    <row r="366">
      <c r="B366" s="40" t="n"/>
      <c r="C366" s="41" t="n"/>
      <c r="D366" s="42" t="n"/>
      <c r="E366" s="42" t="n"/>
      <c r="F366" s="43">
        <f>IF(AND(B366="",D366=""),"",IF(D366="","⚠ Escolha o tema",IF(COUNTIF('1. Temas'!$C$8:$C$37,D366)=0,"⚠ Tema não cadastrado","✔ OK")))</f>
        <v/>
      </c>
    </row>
    <row r="367">
      <c r="B367" s="40" t="n"/>
      <c r="C367" s="41" t="n"/>
      <c r="D367" s="42" t="n"/>
      <c r="E367" s="42" t="n"/>
      <c r="F367" s="43">
        <f>IF(AND(B367="",D367=""),"",IF(D367="","⚠ Escolha o tema",IF(COUNTIF('1. Temas'!$C$8:$C$37,D367)=0,"⚠ Tema não cadastrado","✔ OK")))</f>
        <v/>
      </c>
    </row>
    <row r="368">
      <c r="B368" s="40" t="n"/>
      <c r="C368" s="41" t="n"/>
      <c r="D368" s="42" t="n"/>
      <c r="E368" s="42" t="n"/>
      <c r="F368" s="43">
        <f>IF(AND(B368="",D368=""),"",IF(D368="","⚠ Escolha o tema",IF(COUNTIF('1. Temas'!$C$8:$C$37,D368)=0,"⚠ Tema não cadastrado","✔ OK")))</f>
        <v/>
      </c>
    </row>
    <row r="369">
      <c r="B369" s="40" t="n"/>
      <c r="C369" s="41" t="n"/>
      <c r="D369" s="42" t="n"/>
      <c r="E369" s="42" t="n"/>
      <c r="F369" s="43">
        <f>IF(AND(B369="",D369=""),"",IF(D369="","⚠ Escolha o tema",IF(COUNTIF('1. Temas'!$C$8:$C$37,D369)=0,"⚠ Tema não cadastrado","✔ OK")))</f>
        <v/>
      </c>
    </row>
    <row r="370">
      <c r="B370" s="40" t="n"/>
      <c r="C370" s="41" t="n"/>
      <c r="D370" s="42" t="n"/>
      <c r="E370" s="42" t="n"/>
      <c r="F370" s="43">
        <f>IF(AND(B370="",D370=""),"",IF(D370="","⚠ Escolha o tema",IF(COUNTIF('1. Temas'!$C$8:$C$37,D370)=0,"⚠ Tema não cadastrado","✔ OK")))</f>
        <v/>
      </c>
    </row>
    <row r="371">
      <c r="B371" s="40" t="n"/>
      <c r="C371" s="41" t="n"/>
      <c r="D371" s="42" t="n"/>
      <c r="E371" s="42" t="n"/>
      <c r="F371" s="43">
        <f>IF(AND(B371="",D371=""),"",IF(D371="","⚠ Escolha o tema",IF(COUNTIF('1. Temas'!$C$8:$C$37,D371)=0,"⚠ Tema não cadastrado","✔ OK")))</f>
        <v/>
      </c>
    </row>
    <row r="372">
      <c r="B372" s="40" t="n"/>
      <c r="C372" s="41" t="n"/>
      <c r="D372" s="42" t="n"/>
      <c r="E372" s="42" t="n"/>
      <c r="F372" s="43">
        <f>IF(AND(B372="",D372=""),"",IF(D372="","⚠ Escolha o tema",IF(COUNTIF('1. Temas'!$C$8:$C$37,D372)=0,"⚠ Tema não cadastrado","✔ OK")))</f>
        <v/>
      </c>
    </row>
    <row r="373">
      <c r="B373" s="40" t="n"/>
      <c r="C373" s="41" t="n"/>
      <c r="D373" s="42" t="n"/>
      <c r="E373" s="42" t="n"/>
      <c r="F373" s="43">
        <f>IF(AND(B373="",D373=""),"",IF(D373="","⚠ Escolha o tema",IF(COUNTIF('1. Temas'!$C$8:$C$37,D373)=0,"⚠ Tema não cadastrado","✔ OK")))</f>
        <v/>
      </c>
    </row>
    <row r="374">
      <c r="B374" s="40" t="n"/>
      <c r="C374" s="41" t="n"/>
      <c r="D374" s="42" t="n"/>
      <c r="E374" s="42" t="n"/>
      <c r="F374" s="43">
        <f>IF(AND(B374="",D374=""),"",IF(D374="","⚠ Escolha o tema",IF(COUNTIF('1. Temas'!$C$8:$C$37,D374)=0,"⚠ Tema não cadastrado","✔ OK")))</f>
        <v/>
      </c>
    </row>
    <row r="375">
      <c r="B375" s="40" t="n"/>
      <c r="C375" s="41" t="n"/>
      <c r="D375" s="42" t="n"/>
      <c r="E375" s="42" t="n"/>
      <c r="F375" s="43">
        <f>IF(AND(B375="",D375=""),"",IF(D375="","⚠ Escolha o tema",IF(COUNTIF('1. Temas'!$C$8:$C$37,D375)=0,"⚠ Tema não cadastrado","✔ OK")))</f>
        <v/>
      </c>
    </row>
    <row r="376">
      <c r="B376" s="40" t="n"/>
      <c r="C376" s="41" t="n"/>
      <c r="D376" s="42" t="n"/>
      <c r="E376" s="42" t="n"/>
      <c r="F376" s="43">
        <f>IF(AND(B376="",D376=""),"",IF(D376="","⚠ Escolha o tema",IF(COUNTIF('1. Temas'!$C$8:$C$37,D376)=0,"⚠ Tema não cadastrado","✔ OK")))</f>
        <v/>
      </c>
    </row>
    <row r="377">
      <c r="B377" s="40" t="n"/>
      <c r="C377" s="41" t="n"/>
      <c r="D377" s="42" t="n"/>
      <c r="E377" s="42" t="n"/>
      <c r="F377" s="43">
        <f>IF(AND(B377="",D377=""),"",IF(D377="","⚠ Escolha o tema",IF(COUNTIF('1. Temas'!$C$8:$C$37,D377)=0,"⚠ Tema não cadastrado","✔ OK")))</f>
        <v/>
      </c>
    </row>
    <row r="378">
      <c r="B378" s="40" t="n"/>
      <c r="C378" s="41" t="n"/>
      <c r="D378" s="42" t="n"/>
      <c r="E378" s="42" t="n"/>
      <c r="F378" s="43">
        <f>IF(AND(B378="",D378=""),"",IF(D378="","⚠ Escolha o tema",IF(COUNTIF('1. Temas'!$C$8:$C$37,D378)=0,"⚠ Tema não cadastrado","✔ OK")))</f>
        <v/>
      </c>
    </row>
    <row r="379">
      <c r="B379" s="40" t="n"/>
      <c r="C379" s="41" t="n"/>
      <c r="D379" s="42" t="n"/>
      <c r="E379" s="42" t="n"/>
      <c r="F379" s="43">
        <f>IF(AND(B379="",D379=""),"",IF(D379="","⚠ Escolha o tema",IF(COUNTIF('1. Temas'!$C$8:$C$37,D379)=0,"⚠ Tema não cadastrado","✔ OK")))</f>
        <v/>
      </c>
    </row>
    <row r="380">
      <c r="B380" s="40" t="n"/>
      <c r="C380" s="41" t="n"/>
      <c r="D380" s="42" t="n"/>
      <c r="E380" s="42" t="n"/>
      <c r="F380" s="43">
        <f>IF(AND(B380="",D380=""),"",IF(D380="","⚠ Escolha o tema",IF(COUNTIF('1. Temas'!$C$8:$C$37,D380)=0,"⚠ Tema não cadastrado","✔ OK")))</f>
        <v/>
      </c>
    </row>
    <row r="381">
      <c r="B381" s="40" t="n"/>
      <c r="C381" s="41" t="n"/>
      <c r="D381" s="42" t="n"/>
      <c r="E381" s="42" t="n"/>
      <c r="F381" s="43">
        <f>IF(AND(B381="",D381=""),"",IF(D381="","⚠ Escolha o tema",IF(COUNTIF('1. Temas'!$C$8:$C$37,D381)=0,"⚠ Tema não cadastrado","✔ OK")))</f>
        <v/>
      </c>
    </row>
    <row r="382">
      <c r="B382" s="40" t="n"/>
      <c r="C382" s="41" t="n"/>
      <c r="D382" s="42" t="n"/>
      <c r="E382" s="42" t="n"/>
      <c r="F382" s="43">
        <f>IF(AND(B382="",D382=""),"",IF(D382="","⚠ Escolha o tema",IF(COUNTIF('1. Temas'!$C$8:$C$37,D382)=0,"⚠ Tema não cadastrado","✔ OK")))</f>
        <v/>
      </c>
    </row>
    <row r="383">
      <c r="B383" s="40" t="n"/>
      <c r="C383" s="41" t="n"/>
      <c r="D383" s="42" t="n"/>
      <c r="E383" s="42" t="n"/>
      <c r="F383" s="43">
        <f>IF(AND(B383="",D383=""),"",IF(D383="","⚠ Escolha o tema",IF(COUNTIF('1. Temas'!$C$8:$C$37,D383)=0,"⚠ Tema não cadastrado","✔ OK")))</f>
        <v/>
      </c>
    </row>
    <row r="384">
      <c r="B384" s="40" t="n"/>
      <c r="C384" s="41" t="n"/>
      <c r="D384" s="42" t="n"/>
      <c r="E384" s="42" t="n"/>
      <c r="F384" s="43">
        <f>IF(AND(B384="",D384=""),"",IF(D384="","⚠ Escolha o tema",IF(COUNTIF('1. Temas'!$C$8:$C$37,D384)=0,"⚠ Tema não cadastrado","✔ OK")))</f>
        <v/>
      </c>
    </row>
    <row r="385">
      <c r="B385" s="40" t="n"/>
      <c r="C385" s="41" t="n"/>
      <c r="D385" s="42" t="n"/>
      <c r="E385" s="42" t="n"/>
      <c r="F385" s="43">
        <f>IF(AND(B385="",D385=""),"",IF(D385="","⚠ Escolha o tema",IF(COUNTIF('1. Temas'!$C$8:$C$37,D385)=0,"⚠ Tema não cadastrado","✔ OK")))</f>
        <v/>
      </c>
    </row>
    <row r="386">
      <c r="B386" s="40" t="n"/>
      <c r="C386" s="41" t="n"/>
      <c r="D386" s="42" t="n"/>
      <c r="E386" s="42" t="n"/>
      <c r="F386" s="43">
        <f>IF(AND(B386="",D386=""),"",IF(D386="","⚠ Escolha o tema",IF(COUNTIF('1. Temas'!$C$8:$C$37,D386)=0,"⚠ Tema não cadastrado","✔ OK")))</f>
        <v/>
      </c>
    </row>
    <row r="387">
      <c r="B387" s="40" t="n"/>
      <c r="C387" s="41" t="n"/>
      <c r="D387" s="42" t="n"/>
      <c r="E387" s="42" t="n"/>
      <c r="F387" s="43">
        <f>IF(AND(B387="",D387=""),"",IF(D387="","⚠ Escolha o tema",IF(COUNTIF('1. Temas'!$C$8:$C$37,D387)=0,"⚠ Tema não cadastrado","✔ OK")))</f>
        <v/>
      </c>
    </row>
    <row r="388">
      <c r="B388" s="40" t="n"/>
      <c r="C388" s="41" t="n"/>
      <c r="D388" s="42" t="n"/>
      <c r="E388" s="42" t="n"/>
      <c r="F388" s="43">
        <f>IF(AND(B388="",D388=""),"",IF(D388="","⚠ Escolha o tema",IF(COUNTIF('1. Temas'!$C$8:$C$37,D388)=0,"⚠ Tema não cadastrado","✔ OK")))</f>
        <v/>
      </c>
    </row>
    <row r="389">
      <c r="B389" s="40" t="n"/>
      <c r="C389" s="41" t="n"/>
      <c r="D389" s="42" t="n"/>
      <c r="E389" s="42" t="n"/>
      <c r="F389" s="43">
        <f>IF(AND(B389="",D389=""),"",IF(D389="","⚠ Escolha o tema",IF(COUNTIF('1. Temas'!$C$8:$C$37,D389)=0,"⚠ Tema não cadastrado","✔ OK")))</f>
        <v/>
      </c>
    </row>
    <row r="390">
      <c r="B390" s="40" t="n"/>
      <c r="C390" s="41" t="n"/>
      <c r="D390" s="42" t="n"/>
      <c r="E390" s="42" t="n"/>
      <c r="F390" s="43">
        <f>IF(AND(B390="",D390=""),"",IF(D390="","⚠ Escolha o tema",IF(COUNTIF('1. Temas'!$C$8:$C$37,D390)=0,"⚠ Tema não cadastrado","✔ OK")))</f>
        <v/>
      </c>
    </row>
    <row r="391">
      <c r="B391" s="40" t="n"/>
      <c r="C391" s="41" t="n"/>
      <c r="D391" s="42" t="n"/>
      <c r="E391" s="42" t="n"/>
      <c r="F391" s="43">
        <f>IF(AND(B391="",D391=""),"",IF(D391="","⚠ Escolha o tema",IF(COUNTIF('1. Temas'!$C$8:$C$37,D391)=0,"⚠ Tema não cadastrado","✔ OK")))</f>
        <v/>
      </c>
    </row>
    <row r="392">
      <c r="B392" s="40" t="n"/>
      <c r="C392" s="41" t="n"/>
      <c r="D392" s="42" t="n"/>
      <c r="E392" s="42" t="n"/>
      <c r="F392" s="43">
        <f>IF(AND(B392="",D392=""),"",IF(D392="","⚠ Escolha o tema",IF(COUNTIF('1. Temas'!$C$8:$C$37,D392)=0,"⚠ Tema não cadastrado","✔ OK")))</f>
        <v/>
      </c>
    </row>
    <row r="393">
      <c r="B393" s="40" t="n"/>
      <c r="C393" s="41" t="n"/>
      <c r="D393" s="42" t="n"/>
      <c r="E393" s="42" t="n"/>
      <c r="F393" s="43">
        <f>IF(AND(B393="",D393=""),"",IF(D393="","⚠ Escolha o tema",IF(COUNTIF('1. Temas'!$C$8:$C$37,D393)=0,"⚠ Tema não cadastrado","✔ OK")))</f>
        <v/>
      </c>
    </row>
    <row r="394">
      <c r="B394" s="40" t="n"/>
      <c r="C394" s="41" t="n"/>
      <c r="D394" s="42" t="n"/>
      <c r="E394" s="42" t="n"/>
      <c r="F394" s="43">
        <f>IF(AND(B394="",D394=""),"",IF(D394="","⚠ Escolha o tema",IF(COUNTIF('1. Temas'!$C$8:$C$37,D394)=0,"⚠ Tema não cadastrado","✔ OK")))</f>
        <v/>
      </c>
    </row>
    <row r="395">
      <c r="B395" s="40" t="n"/>
      <c r="C395" s="41" t="n"/>
      <c r="D395" s="42" t="n"/>
      <c r="E395" s="42" t="n"/>
      <c r="F395" s="43">
        <f>IF(AND(B395="",D395=""),"",IF(D395="","⚠ Escolha o tema",IF(COUNTIF('1. Temas'!$C$8:$C$37,D395)=0,"⚠ Tema não cadastrado","✔ OK")))</f>
        <v/>
      </c>
    </row>
    <row r="396">
      <c r="B396" s="40" t="n"/>
      <c r="C396" s="41" t="n"/>
      <c r="D396" s="42" t="n"/>
      <c r="E396" s="42" t="n"/>
      <c r="F396" s="43">
        <f>IF(AND(B396="",D396=""),"",IF(D396="","⚠ Escolha o tema",IF(COUNTIF('1. Temas'!$C$8:$C$37,D396)=0,"⚠ Tema não cadastrado","✔ OK")))</f>
        <v/>
      </c>
    </row>
    <row r="397">
      <c r="B397" s="40" t="n"/>
      <c r="C397" s="41" t="n"/>
      <c r="D397" s="42" t="n"/>
      <c r="E397" s="42" t="n"/>
      <c r="F397" s="43">
        <f>IF(AND(B397="",D397=""),"",IF(D397="","⚠ Escolha o tema",IF(COUNTIF('1. Temas'!$C$8:$C$37,D397)=0,"⚠ Tema não cadastrado","✔ OK")))</f>
        <v/>
      </c>
    </row>
    <row r="398">
      <c r="B398" s="40" t="n"/>
      <c r="C398" s="41" t="n"/>
      <c r="D398" s="42" t="n"/>
      <c r="E398" s="42" t="n"/>
      <c r="F398" s="43">
        <f>IF(AND(B398="",D398=""),"",IF(D398="","⚠ Escolha o tema",IF(COUNTIF('1. Temas'!$C$8:$C$37,D398)=0,"⚠ Tema não cadastrado","✔ OK")))</f>
        <v/>
      </c>
    </row>
    <row r="399">
      <c r="B399" s="40" t="n"/>
      <c r="C399" s="41" t="n"/>
      <c r="D399" s="42" t="n"/>
      <c r="E399" s="42" t="n"/>
      <c r="F399" s="43">
        <f>IF(AND(B399="",D399=""),"",IF(D399="","⚠ Escolha o tema",IF(COUNTIF('1. Temas'!$C$8:$C$37,D399)=0,"⚠ Tema não cadastrado","✔ OK")))</f>
        <v/>
      </c>
    </row>
    <row r="400">
      <c r="B400" s="40" t="n"/>
      <c r="C400" s="41" t="n"/>
      <c r="D400" s="42" t="n"/>
      <c r="E400" s="42" t="n"/>
      <c r="F400" s="43">
        <f>IF(AND(B400="",D400=""),"",IF(D400="","⚠ Escolha o tema",IF(COUNTIF('1. Temas'!$C$8:$C$37,D400)=0,"⚠ Tema não cadastrado","✔ OK")))</f>
        <v/>
      </c>
    </row>
    <row r="401">
      <c r="B401" s="40" t="n"/>
      <c r="C401" s="41" t="n"/>
      <c r="D401" s="42" t="n"/>
      <c r="E401" s="42" t="n"/>
      <c r="F401" s="43">
        <f>IF(AND(B401="",D401=""),"",IF(D401="","⚠ Escolha o tema",IF(COUNTIF('1. Temas'!$C$8:$C$37,D401)=0,"⚠ Tema não cadastrado","✔ OK")))</f>
        <v/>
      </c>
    </row>
    <row r="402">
      <c r="B402" s="40" t="n"/>
      <c r="C402" s="41" t="n"/>
      <c r="D402" s="42" t="n"/>
      <c r="E402" s="42" t="n"/>
      <c r="F402" s="43">
        <f>IF(AND(B402="",D402=""),"",IF(D402="","⚠ Escolha o tema",IF(COUNTIF('1. Temas'!$C$8:$C$37,D402)=0,"⚠ Tema não cadastrado","✔ OK")))</f>
        <v/>
      </c>
    </row>
    <row r="403">
      <c r="B403" s="40" t="n"/>
      <c r="C403" s="41" t="n"/>
      <c r="D403" s="42" t="n"/>
      <c r="E403" s="42" t="n"/>
      <c r="F403" s="43">
        <f>IF(AND(B403="",D403=""),"",IF(D403="","⚠ Escolha o tema",IF(COUNTIF('1. Temas'!$C$8:$C$37,D403)=0,"⚠ Tema não cadastrado","✔ OK")))</f>
        <v/>
      </c>
    </row>
    <row r="404">
      <c r="B404" s="40" t="n"/>
      <c r="C404" s="41" t="n"/>
      <c r="D404" s="42" t="n"/>
      <c r="E404" s="42" t="n"/>
      <c r="F404" s="43">
        <f>IF(AND(B404="",D404=""),"",IF(D404="","⚠ Escolha o tema",IF(COUNTIF('1. Temas'!$C$8:$C$37,D404)=0,"⚠ Tema não cadastrado","✔ OK")))</f>
        <v/>
      </c>
    </row>
    <row r="405">
      <c r="B405" s="40" t="n"/>
      <c r="C405" s="41" t="n"/>
      <c r="D405" s="42" t="n"/>
      <c r="E405" s="42" t="n"/>
      <c r="F405" s="43">
        <f>IF(AND(B405="",D405=""),"",IF(D405="","⚠ Escolha o tema",IF(COUNTIF('1. Temas'!$C$8:$C$37,D405)=0,"⚠ Tema não cadastrado","✔ OK")))</f>
        <v/>
      </c>
    </row>
    <row r="406">
      <c r="B406" s="40" t="n"/>
      <c r="C406" s="41" t="n"/>
      <c r="D406" s="42" t="n"/>
      <c r="E406" s="42" t="n"/>
      <c r="F406" s="43">
        <f>IF(AND(B406="",D406=""),"",IF(D406="","⚠ Escolha o tema",IF(COUNTIF('1. Temas'!$C$8:$C$37,D406)=0,"⚠ Tema não cadastrado","✔ OK")))</f>
        <v/>
      </c>
    </row>
    <row r="407">
      <c r="B407" s="40" t="n"/>
      <c r="C407" s="41" t="n"/>
      <c r="D407" s="42" t="n"/>
      <c r="E407" s="42" t="n"/>
      <c r="F407" s="43">
        <f>IF(AND(B407="",D407=""),"",IF(D407="","⚠ Escolha o tema",IF(COUNTIF('1. Temas'!$C$8:$C$37,D407)=0,"⚠ Tema não cadastrado","✔ OK")))</f>
        <v/>
      </c>
    </row>
    <row r="408">
      <c r="B408" s="40" t="n"/>
      <c r="C408" s="41" t="n"/>
      <c r="D408" s="42" t="n"/>
      <c r="E408" s="42" t="n"/>
      <c r="F408" s="43">
        <f>IF(AND(B408="",D408=""),"",IF(D408="","⚠ Escolha o tema",IF(COUNTIF('1. Temas'!$C$8:$C$37,D408)=0,"⚠ Tema não cadastrado","✔ OK")))</f>
        <v/>
      </c>
    </row>
    <row r="409">
      <c r="B409" s="40" t="n"/>
      <c r="C409" s="41" t="n"/>
      <c r="D409" s="42" t="n"/>
      <c r="E409" s="42" t="n"/>
      <c r="F409" s="43">
        <f>IF(AND(B409="",D409=""),"",IF(D409="","⚠ Escolha o tema",IF(COUNTIF('1. Temas'!$C$8:$C$37,D409)=0,"⚠ Tema não cadastrado","✔ OK")))</f>
        <v/>
      </c>
    </row>
    <row r="410">
      <c r="B410" s="40" t="n"/>
      <c r="C410" s="41" t="n"/>
      <c r="D410" s="42" t="n"/>
      <c r="E410" s="42" t="n"/>
      <c r="F410" s="43">
        <f>IF(AND(B410="",D410=""),"",IF(D410="","⚠ Escolha o tema",IF(COUNTIF('1. Temas'!$C$8:$C$37,D410)=0,"⚠ Tema não cadastrado","✔ OK")))</f>
        <v/>
      </c>
    </row>
    <row r="411">
      <c r="B411" s="40" t="n"/>
      <c r="C411" s="41" t="n"/>
      <c r="D411" s="42" t="n"/>
      <c r="E411" s="42" t="n"/>
      <c r="F411" s="43">
        <f>IF(AND(B411="",D411=""),"",IF(D411="","⚠ Escolha o tema",IF(COUNTIF('1. Temas'!$C$8:$C$37,D411)=0,"⚠ Tema não cadastrado","✔ OK")))</f>
        <v/>
      </c>
    </row>
    <row r="412">
      <c r="B412" s="40" t="n"/>
      <c r="C412" s="41" t="n"/>
      <c r="D412" s="42" t="n"/>
      <c r="E412" s="42" t="n"/>
      <c r="F412" s="43">
        <f>IF(AND(B412="",D412=""),"",IF(D412="","⚠ Escolha o tema",IF(COUNTIF('1. Temas'!$C$8:$C$37,D412)=0,"⚠ Tema não cadastrado","✔ OK")))</f>
        <v/>
      </c>
    </row>
    <row r="413">
      <c r="B413" s="40" t="n"/>
      <c r="C413" s="41" t="n"/>
      <c r="D413" s="42" t="n"/>
      <c r="E413" s="42" t="n"/>
      <c r="F413" s="43">
        <f>IF(AND(B413="",D413=""),"",IF(D413="","⚠ Escolha o tema",IF(COUNTIF('1. Temas'!$C$8:$C$37,D413)=0,"⚠ Tema não cadastrado","✔ OK")))</f>
        <v/>
      </c>
    </row>
    <row r="414">
      <c r="B414" s="40" t="n"/>
      <c r="C414" s="41" t="n"/>
      <c r="D414" s="42" t="n"/>
      <c r="E414" s="42" t="n"/>
      <c r="F414" s="43">
        <f>IF(AND(B414="",D414=""),"",IF(D414="","⚠ Escolha o tema",IF(COUNTIF('1. Temas'!$C$8:$C$37,D414)=0,"⚠ Tema não cadastrado","✔ OK")))</f>
        <v/>
      </c>
    </row>
    <row r="415">
      <c r="B415" s="40" t="n"/>
      <c r="C415" s="41" t="n"/>
      <c r="D415" s="42" t="n"/>
      <c r="E415" s="42" t="n"/>
      <c r="F415" s="43">
        <f>IF(AND(B415="",D415=""),"",IF(D415="","⚠ Escolha o tema",IF(COUNTIF('1. Temas'!$C$8:$C$37,D415)=0,"⚠ Tema não cadastrado","✔ OK")))</f>
        <v/>
      </c>
    </row>
    <row r="416">
      <c r="B416" s="40" t="n"/>
      <c r="C416" s="41" t="n"/>
      <c r="D416" s="42" t="n"/>
      <c r="E416" s="42" t="n"/>
      <c r="F416" s="43">
        <f>IF(AND(B416="",D416=""),"",IF(D416="","⚠ Escolha o tema",IF(COUNTIF('1. Temas'!$C$8:$C$37,D416)=0,"⚠ Tema não cadastrado","✔ OK")))</f>
        <v/>
      </c>
    </row>
    <row r="417">
      <c r="B417" s="40" t="n"/>
      <c r="C417" s="41" t="n"/>
      <c r="D417" s="42" t="n"/>
      <c r="E417" s="42" t="n"/>
      <c r="F417" s="43">
        <f>IF(AND(B417="",D417=""),"",IF(D417="","⚠ Escolha o tema",IF(COUNTIF('1. Temas'!$C$8:$C$37,D417)=0,"⚠ Tema não cadastrado","✔ OK")))</f>
        <v/>
      </c>
    </row>
    <row r="418">
      <c r="B418" s="40" t="n"/>
      <c r="C418" s="41" t="n"/>
      <c r="D418" s="42" t="n"/>
      <c r="E418" s="42" t="n"/>
      <c r="F418" s="43">
        <f>IF(AND(B418="",D418=""),"",IF(D418="","⚠ Escolha o tema",IF(COUNTIF('1. Temas'!$C$8:$C$37,D418)=0,"⚠ Tema não cadastrado","✔ OK")))</f>
        <v/>
      </c>
    </row>
    <row r="419">
      <c r="B419" s="40" t="n"/>
      <c r="C419" s="41" t="n"/>
      <c r="D419" s="42" t="n"/>
      <c r="E419" s="42" t="n"/>
      <c r="F419" s="43">
        <f>IF(AND(B419="",D419=""),"",IF(D419="","⚠ Escolha o tema",IF(COUNTIF('1. Temas'!$C$8:$C$37,D419)=0,"⚠ Tema não cadastrado","✔ OK")))</f>
        <v/>
      </c>
    </row>
    <row r="420">
      <c r="B420" s="40" t="n"/>
      <c r="C420" s="41" t="n"/>
      <c r="D420" s="42" t="n"/>
      <c r="E420" s="42" t="n"/>
      <c r="F420" s="43">
        <f>IF(AND(B420="",D420=""),"",IF(D420="","⚠ Escolha o tema",IF(COUNTIF('1. Temas'!$C$8:$C$37,D420)=0,"⚠ Tema não cadastrado","✔ OK")))</f>
        <v/>
      </c>
    </row>
    <row r="421">
      <c r="B421" s="40" t="n"/>
      <c r="C421" s="41" t="n"/>
      <c r="D421" s="42" t="n"/>
      <c r="E421" s="42" t="n"/>
      <c r="F421" s="43">
        <f>IF(AND(B421="",D421=""),"",IF(D421="","⚠ Escolha o tema",IF(COUNTIF('1. Temas'!$C$8:$C$37,D421)=0,"⚠ Tema não cadastrado","✔ OK")))</f>
        <v/>
      </c>
    </row>
    <row r="422">
      <c r="B422" s="40" t="n"/>
      <c r="C422" s="41" t="n"/>
      <c r="D422" s="42" t="n"/>
      <c r="E422" s="42" t="n"/>
      <c r="F422" s="43">
        <f>IF(AND(B422="",D422=""),"",IF(D422="","⚠ Escolha o tema",IF(COUNTIF('1. Temas'!$C$8:$C$37,D422)=0,"⚠ Tema não cadastrado","✔ OK")))</f>
        <v/>
      </c>
    </row>
    <row r="423">
      <c r="B423" s="40" t="n"/>
      <c r="C423" s="41" t="n"/>
      <c r="D423" s="42" t="n"/>
      <c r="E423" s="42" t="n"/>
      <c r="F423" s="43">
        <f>IF(AND(B423="",D423=""),"",IF(D423="","⚠ Escolha o tema",IF(COUNTIF('1. Temas'!$C$8:$C$37,D423)=0,"⚠ Tema não cadastrado","✔ OK")))</f>
        <v/>
      </c>
    </row>
    <row r="424">
      <c r="B424" s="40" t="n"/>
      <c r="C424" s="41" t="n"/>
      <c r="D424" s="42" t="n"/>
      <c r="E424" s="42" t="n"/>
      <c r="F424" s="43">
        <f>IF(AND(B424="",D424=""),"",IF(D424="","⚠ Escolha o tema",IF(COUNTIF('1. Temas'!$C$8:$C$37,D424)=0,"⚠ Tema não cadastrado","✔ OK")))</f>
        <v/>
      </c>
    </row>
    <row r="425">
      <c r="B425" s="40" t="n"/>
      <c r="C425" s="41" t="n"/>
      <c r="D425" s="42" t="n"/>
      <c r="E425" s="42" t="n"/>
      <c r="F425" s="43">
        <f>IF(AND(B425="",D425=""),"",IF(D425="","⚠ Escolha o tema",IF(COUNTIF('1. Temas'!$C$8:$C$37,D425)=0,"⚠ Tema não cadastrado","✔ OK")))</f>
        <v/>
      </c>
    </row>
    <row r="426">
      <c r="B426" s="40" t="n"/>
      <c r="C426" s="41" t="n"/>
      <c r="D426" s="42" t="n"/>
      <c r="E426" s="42" t="n"/>
      <c r="F426" s="43">
        <f>IF(AND(B426="",D426=""),"",IF(D426="","⚠ Escolha o tema",IF(COUNTIF('1. Temas'!$C$8:$C$37,D426)=0,"⚠ Tema não cadastrado","✔ OK")))</f>
        <v/>
      </c>
    </row>
    <row r="427">
      <c r="B427" s="40" t="n"/>
      <c r="C427" s="41" t="n"/>
      <c r="D427" s="42" t="n"/>
      <c r="E427" s="42" t="n"/>
      <c r="F427" s="43">
        <f>IF(AND(B427="",D427=""),"",IF(D427="","⚠ Escolha o tema",IF(COUNTIF('1. Temas'!$C$8:$C$37,D427)=0,"⚠ Tema não cadastrado","✔ OK")))</f>
        <v/>
      </c>
    </row>
    <row r="428">
      <c r="B428" s="40" t="n"/>
      <c r="C428" s="41" t="n"/>
      <c r="D428" s="42" t="n"/>
      <c r="E428" s="42" t="n"/>
      <c r="F428" s="43">
        <f>IF(AND(B428="",D428=""),"",IF(D428="","⚠ Escolha o tema",IF(COUNTIF('1. Temas'!$C$8:$C$37,D428)=0,"⚠ Tema não cadastrado","✔ OK")))</f>
        <v/>
      </c>
    </row>
    <row r="429">
      <c r="B429" s="40" t="n"/>
      <c r="C429" s="41" t="n"/>
      <c r="D429" s="42" t="n"/>
      <c r="E429" s="42" t="n"/>
      <c r="F429" s="43">
        <f>IF(AND(B429="",D429=""),"",IF(D429="","⚠ Escolha o tema",IF(COUNTIF('1. Temas'!$C$8:$C$37,D429)=0,"⚠ Tema não cadastrado","✔ OK")))</f>
        <v/>
      </c>
    </row>
    <row r="430">
      <c r="B430" s="40" t="n"/>
      <c r="C430" s="41" t="n"/>
      <c r="D430" s="42" t="n"/>
      <c r="E430" s="42" t="n"/>
      <c r="F430" s="43">
        <f>IF(AND(B430="",D430=""),"",IF(D430="","⚠ Escolha o tema",IF(COUNTIF('1. Temas'!$C$8:$C$37,D430)=0,"⚠ Tema não cadastrado","✔ OK")))</f>
        <v/>
      </c>
    </row>
    <row r="431">
      <c r="B431" s="40" t="n"/>
      <c r="C431" s="41" t="n"/>
      <c r="D431" s="42" t="n"/>
      <c r="E431" s="42" t="n"/>
      <c r="F431" s="43">
        <f>IF(AND(B431="",D431=""),"",IF(D431="","⚠ Escolha o tema",IF(COUNTIF('1. Temas'!$C$8:$C$37,D431)=0,"⚠ Tema não cadastrado","✔ OK")))</f>
        <v/>
      </c>
    </row>
    <row r="432">
      <c r="B432" s="40" t="n"/>
      <c r="C432" s="41" t="n"/>
      <c r="D432" s="42" t="n"/>
      <c r="E432" s="42" t="n"/>
      <c r="F432" s="43">
        <f>IF(AND(B432="",D432=""),"",IF(D432="","⚠ Escolha o tema",IF(COUNTIF('1. Temas'!$C$8:$C$37,D432)=0,"⚠ Tema não cadastrado","✔ OK")))</f>
        <v/>
      </c>
    </row>
    <row r="433">
      <c r="B433" s="40" t="n"/>
      <c r="C433" s="41" t="n"/>
      <c r="D433" s="42" t="n"/>
      <c r="E433" s="42" t="n"/>
      <c r="F433" s="43">
        <f>IF(AND(B433="",D433=""),"",IF(D433="","⚠ Escolha o tema",IF(COUNTIF('1. Temas'!$C$8:$C$37,D433)=0,"⚠ Tema não cadastrado","✔ OK")))</f>
        <v/>
      </c>
    </row>
    <row r="434">
      <c r="B434" s="40" t="n"/>
      <c r="C434" s="41" t="n"/>
      <c r="D434" s="42" t="n"/>
      <c r="E434" s="42" t="n"/>
      <c r="F434" s="43">
        <f>IF(AND(B434="",D434=""),"",IF(D434="","⚠ Escolha o tema",IF(COUNTIF('1. Temas'!$C$8:$C$37,D434)=0,"⚠ Tema não cadastrado","✔ OK")))</f>
        <v/>
      </c>
    </row>
    <row r="435">
      <c r="B435" s="40" t="n"/>
      <c r="C435" s="41" t="n"/>
      <c r="D435" s="42" t="n"/>
      <c r="E435" s="42" t="n"/>
      <c r="F435" s="43">
        <f>IF(AND(B435="",D435=""),"",IF(D435="","⚠ Escolha o tema",IF(COUNTIF('1. Temas'!$C$8:$C$37,D435)=0,"⚠ Tema não cadastrado","✔ OK")))</f>
        <v/>
      </c>
    </row>
    <row r="436">
      <c r="B436" s="40" t="n"/>
      <c r="C436" s="41" t="n"/>
      <c r="D436" s="42" t="n"/>
      <c r="E436" s="42" t="n"/>
      <c r="F436" s="43">
        <f>IF(AND(B436="",D436=""),"",IF(D436="","⚠ Escolha o tema",IF(COUNTIF('1. Temas'!$C$8:$C$37,D436)=0,"⚠ Tema não cadastrado","✔ OK")))</f>
        <v/>
      </c>
    </row>
    <row r="437">
      <c r="B437" s="40" t="n"/>
      <c r="C437" s="41" t="n"/>
      <c r="D437" s="42" t="n"/>
      <c r="E437" s="42" t="n"/>
      <c r="F437" s="43">
        <f>IF(AND(B437="",D437=""),"",IF(D437="","⚠ Escolha o tema",IF(COUNTIF('1. Temas'!$C$8:$C$37,D437)=0,"⚠ Tema não cadastrado","✔ OK")))</f>
        <v/>
      </c>
    </row>
    <row r="438">
      <c r="B438" s="40" t="n"/>
      <c r="C438" s="41" t="n"/>
      <c r="D438" s="42" t="n"/>
      <c r="E438" s="42" t="n"/>
      <c r="F438" s="43">
        <f>IF(AND(B438="",D438=""),"",IF(D438="","⚠ Escolha o tema",IF(COUNTIF('1. Temas'!$C$8:$C$37,D438)=0,"⚠ Tema não cadastrado","✔ OK")))</f>
        <v/>
      </c>
    </row>
    <row r="439">
      <c r="B439" s="40" t="n"/>
      <c r="C439" s="41" t="n"/>
      <c r="D439" s="42" t="n"/>
      <c r="E439" s="42" t="n"/>
      <c r="F439" s="43">
        <f>IF(AND(B439="",D439=""),"",IF(D439="","⚠ Escolha o tema",IF(COUNTIF('1. Temas'!$C$8:$C$37,D439)=0,"⚠ Tema não cadastrado","✔ OK")))</f>
        <v/>
      </c>
    </row>
    <row r="440">
      <c r="B440" s="40" t="n"/>
      <c r="C440" s="41" t="n"/>
      <c r="D440" s="42" t="n"/>
      <c r="E440" s="42" t="n"/>
      <c r="F440" s="43">
        <f>IF(AND(B440="",D440=""),"",IF(D440="","⚠ Escolha o tema",IF(COUNTIF('1. Temas'!$C$8:$C$37,D440)=0,"⚠ Tema não cadastrado","✔ OK")))</f>
        <v/>
      </c>
    </row>
    <row r="441">
      <c r="B441" s="40" t="n"/>
      <c r="C441" s="41" t="n"/>
      <c r="D441" s="42" t="n"/>
      <c r="E441" s="42" t="n"/>
      <c r="F441" s="43">
        <f>IF(AND(B441="",D441=""),"",IF(D441="","⚠ Escolha o tema",IF(COUNTIF('1. Temas'!$C$8:$C$37,D441)=0,"⚠ Tema não cadastrado","✔ OK")))</f>
        <v/>
      </c>
    </row>
    <row r="442">
      <c r="B442" s="40" t="n"/>
      <c r="C442" s="41" t="n"/>
      <c r="D442" s="42" t="n"/>
      <c r="E442" s="42" t="n"/>
      <c r="F442" s="43">
        <f>IF(AND(B442="",D442=""),"",IF(D442="","⚠ Escolha o tema",IF(COUNTIF('1. Temas'!$C$8:$C$37,D442)=0,"⚠ Tema não cadastrado","✔ OK")))</f>
        <v/>
      </c>
    </row>
    <row r="443">
      <c r="B443" s="40" t="n"/>
      <c r="C443" s="41" t="n"/>
      <c r="D443" s="42" t="n"/>
      <c r="E443" s="42" t="n"/>
      <c r="F443" s="43">
        <f>IF(AND(B443="",D443=""),"",IF(D443="","⚠ Escolha o tema",IF(COUNTIF('1. Temas'!$C$8:$C$37,D443)=0,"⚠ Tema não cadastrado","✔ OK")))</f>
        <v/>
      </c>
    </row>
    <row r="444">
      <c r="B444" s="40" t="n"/>
      <c r="C444" s="41" t="n"/>
      <c r="D444" s="42" t="n"/>
      <c r="E444" s="42" t="n"/>
      <c r="F444" s="43">
        <f>IF(AND(B444="",D444=""),"",IF(D444="","⚠ Escolha o tema",IF(COUNTIF('1. Temas'!$C$8:$C$37,D444)=0,"⚠ Tema não cadastrado","✔ OK")))</f>
        <v/>
      </c>
    </row>
    <row r="445">
      <c r="B445" s="40" t="n"/>
      <c r="C445" s="41" t="n"/>
      <c r="D445" s="42" t="n"/>
      <c r="E445" s="42" t="n"/>
      <c r="F445" s="43">
        <f>IF(AND(B445="",D445=""),"",IF(D445="","⚠ Escolha o tema",IF(COUNTIF('1. Temas'!$C$8:$C$37,D445)=0,"⚠ Tema não cadastrado","✔ OK")))</f>
        <v/>
      </c>
    </row>
    <row r="446">
      <c r="B446" s="40" t="n"/>
      <c r="C446" s="41" t="n"/>
      <c r="D446" s="42" t="n"/>
      <c r="E446" s="42" t="n"/>
      <c r="F446" s="43">
        <f>IF(AND(B446="",D446=""),"",IF(D446="","⚠ Escolha o tema",IF(COUNTIF('1. Temas'!$C$8:$C$37,D446)=0,"⚠ Tema não cadastrado","✔ OK")))</f>
        <v/>
      </c>
    </row>
    <row r="447">
      <c r="B447" s="40" t="n"/>
      <c r="C447" s="41" t="n"/>
      <c r="D447" s="42" t="n"/>
      <c r="E447" s="42" t="n"/>
      <c r="F447" s="43">
        <f>IF(AND(B447="",D447=""),"",IF(D447="","⚠ Escolha o tema",IF(COUNTIF('1. Temas'!$C$8:$C$37,D447)=0,"⚠ Tema não cadastrado","✔ OK")))</f>
        <v/>
      </c>
    </row>
    <row r="448">
      <c r="B448" s="40" t="n"/>
      <c r="C448" s="41" t="n"/>
      <c r="D448" s="42" t="n"/>
      <c r="E448" s="42" t="n"/>
      <c r="F448" s="43">
        <f>IF(AND(B448="",D448=""),"",IF(D448="","⚠ Escolha o tema",IF(COUNTIF('1. Temas'!$C$8:$C$37,D448)=0,"⚠ Tema não cadastrado","✔ OK")))</f>
        <v/>
      </c>
    </row>
    <row r="449">
      <c r="B449" s="40" t="n"/>
      <c r="C449" s="41" t="n"/>
      <c r="D449" s="42" t="n"/>
      <c r="E449" s="42" t="n"/>
      <c r="F449" s="43">
        <f>IF(AND(B449="",D449=""),"",IF(D449="","⚠ Escolha o tema",IF(COUNTIF('1. Temas'!$C$8:$C$37,D449)=0,"⚠ Tema não cadastrado","✔ OK")))</f>
        <v/>
      </c>
    </row>
    <row r="450">
      <c r="B450" s="40" t="n"/>
      <c r="C450" s="41" t="n"/>
      <c r="D450" s="42" t="n"/>
      <c r="E450" s="42" t="n"/>
      <c r="F450" s="43">
        <f>IF(AND(B450="",D450=""),"",IF(D450="","⚠ Escolha o tema",IF(COUNTIF('1. Temas'!$C$8:$C$37,D450)=0,"⚠ Tema não cadastrado","✔ OK")))</f>
        <v/>
      </c>
    </row>
    <row r="451">
      <c r="B451" s="40" t="n"/>
      <c r="C451" s="41" t="n"/>
      <c r="D451" s="42" t="n"/>
      <c r="E451" s="42" t="n"/>
      <c r="F451" s="43">
        <f>IF(AND(B451="",D451=""),"",IF(D451="","⚠ Escolha o tema",IF(COUNTIF('1. Temas'!$C$8:$C$37,D451)=0,"⚠ Tema não cadastrado","✔ OK")))</f>
        <v/>
      </c>
    </row>
    <row r="452">
      <c r="B452" s="40" t="n"/>
      <c r="C452" s="41" t="n"/>
      <c r="D452" s="42" t="n"/>
      <c r="E452" s="42" t="n"/>
      <c r="F452" s="43">
        <f>IF(AND(B452="",D452=""),"",IF(D452="","⚠ Escolha o tema",IF(COUNTIF('1. Temas'!$C$8:$C$37,D452)=0,"⚠ Tema não cadastrado","✔ OK")))</f>
        <v/>
      </c>
    </row>
    <row r="453">
      <c r="B453" s="40" t="n"/>
      <c r="C453" s="41" t="n"/>
      <c r="D453" s="42" t="n"/>
      <c r="E453" s="42" t="n"/>
      <c r="F453" s="43">
        <f>IF(AND(B453="",D453=""),"",IF(D453="","⚠ Escolha o tema",IF(COUNTIF('1. Temas'!$C$8:$C$37,D453)=0,"⚠ Tema não cadastrado","✔ OK")))</f>
        <v/>
      </c>
    </row>
    <row r="454">
      <c r="B454" s="40" t="n"/>
      <c r="C454" s="41" t="n"/>
      <c r="D454" s="42" t="n"/>
      <c r="E454" s="42" t="n"/>
      <c r="F454" s="43">
        <f>IF(AND(B454="",D454=""),"",IF(D454="","⚠ Escolha o tema",IF(COUNTIF('1. Temas'!$C$8:$C$37,D454)=0,"⚠ Tema não cadastrado","✔ OK")))</f>
        <v/>
      </c>
    </row>
    <row r="455">
      <c r="B455" s="40" t="n"/>
      <c r="C455" s="41" t="n"/>
      <c r="D455" s="42" t="n"/>
      <c r="E455" s="42" t="n"/>
      <c r="F455" s="43">
        <f>IF(AND(B455="",D455=""),"",IF(D455="","⚠ Escolha o tema",IF(COUNTIF('1. Temas'!$C$8:$C$37,D455)=0,"⚠ Tema não cadastrado","✔ OK")))</f>
        <v/>
      </c>
    </row>
    <row r="456">
      <c r="B456" s="40" t="n"/>
      <c r="C456" s="41" t="n"/>
      <c r="D456" s="42" t="n"/>
      <c r="E456" s="42" t="n"/>
      <c r="F456" s="43">
        <f>IF(AND(B456="",D456=""),"",IF(D456="","⚠ Escolha o tema",IF(COUNTIF('1. Temas'!$C$8:$C$37,D456)=0,"⚠ Tema não cadastrado","✔ OK")))</f>
        <v/>
      </c>
    </row>
    <row r="457">
      <c r="B457" s="40" t="n"/>
      <c r="C457" s="41" t="n"/>
      <c r="D457" s="42" t="n"/>
      <c r="E457" s="42" t="n"/>
      <c r="F457" s="43">
        <f>IF(AND(B457="",D457=""),"",IF(D457="","⚠ Escolha o tema",IF(COUNTIF('1. Temas'!$C$8:$C$37,D457)=0,"⚠ Tema não cadastrado","✔ OK")))</f>
        <v/>
      </c>
    </row>
    <row r="458">
      <c r="B458" s="40" t="n"/>
      <c r="C458" s="41" t="n"/>
      <c r="D458" s="42" t="n"/>
      <c r="E458" s="42" t="n"/>
      <c r="F458" s="43">
        <f>IF(AND(B458="",D458=""),"",IF(D458="","⚠ Escolha o tema",IF(COUNTIF('1. Temas'!$C$8:$C$37,D458)=0,"⚠ Tema não cadastrado","✔ OK")))</f>
        <v/>
      </c>
    </row>
    <row r="459">
      <c r="B459" s="40" t="n"/>
      <c r="C459" s="41" t="n"/>
      <c r="D459" s="42" t="n"/>
      <c r="E459" s="42" t="n"/>
      <c r="F459" s="43">
        <f>IF(AND(B459="",D459=""),"",IF(D459="","⚠ Escolha o tema",IF(COUNTIF('1. Temas'!$C$8:$C$37,D459)=0,"⚠ Tema não cadastrado","✔ OK")))</f>
        <v/>
      </c>
    </row>
    <row r="460">
      <c r="B460" s="40" t="n"/>
      <c r="C460" s="41" t="n"/>
      <c r="D460" s="42" t="n"/>
      <c r="E460" s="42" t="n"/>
      <c r="F460" s="43">
        <f>IF(AND(B460="",D460=""),"",IF(D460="","⚠ Escolha o tema",IF(COUNTIF('1. Temas'!$C$8:$C$37,D460)=0,"⚠ Tema não cadastrado","✔ OK")))</f>
        <v/>
      </c>
    </row>
    <row r="461">
      <c r="B461" s="40" t="n"/>
      <c r="C461" s="41" t="n"/>
      <c r="D461" s="42" t="n"/>
      <c r="E461" s="42" t="n"/>
      <c r="F461" s="43">
        <f>IF(AND(B461="",D461=""),"",IF(D461="","⚠ Escolha o tema",IF(COUNTIF('1. Temas'!$C$8:$C$37,D461)=0,"⚠ Tema não cadastrado","✔ OK")))</f>
        <v/>
      </c>
    </row>
    <row r="462">
      <c r="B462" s="40" t="n"/>
      <c r="C462" s="41" t="n"/>
      <c r="D462" s="42" t="n"/>
      <c r="E462" s="42" t="n"/>
      <c r="F462" s="43">
        <f>IF(AND(B462="",D462=""),"",IF(D462="","⚠ Escolha o tema",IF(COUNTIF('1. Temas'!$C$8:$C$37,D462)=0,"⚠ Tema não cadastrado","✔ OK")))</f>
        <v/>
      </c>
    </row>
    <row r="463">
      <c r="B463" s="40" t="n"/>
      <c r="C463" s="41" t="n"/>
      <c r="D463" s="42" t="n"/>
      <c r="E463" s="42" t="n"/>
      <c r="F463" s="43">
        <f>IF(AND(B463="",D463=""),"",IF(D463="","⚠ Escolha o tema",IF(COUNTIF('1. Temas'!$C$8:$C$37,D463)=0,"⚠ Tema não cadastrado","✔ OK")))</f>
        <v/>
      </c>
    </row>
    <row r="464">
      <c r="B464" s="40" t="n"/>
      <c r="C464" s="41" t="n"/>
      <c r="D464" s="42" t="n"/>
      <c r="E464" s="42" t="n"/>
      <c r="F464" s="43">
        <f>IF(AND(B464="",D464=""),"",IF(D464="","⚠ Escolha o tema",IF(COUNTIF('1. Temas'!$C$8:$C$37,D464)=0,"⚠ Tema não cadastrado","✔ OK")))</f>
        <v/>
      </c>
    </row>
    <row r="465">
      <c r="B465" s="40" t="n"/>
      <c r="C465" s="41" t="n"/>
      <c r="D465" s="42" t="n"/>
      <c r="E465" s="42" t="n"/>
      <c r="F465" s="43">
        <f>IF(AND(B465="",D465=""),"",IF(D465="","⚠ Escolha o tema",IF(COUNTIF('1. Temas'!$C$8:$C$37,D465)=0,"⚠ Tema não cadastrado","✔ OK")))</f>
        <v/>
      </c>
    </row>
    <row r="466">
      <c r="B466" s="40" t="n"/>
      <c r="C466" s="41" t="n"/>
      <c r="D466" s="42" t="n"/>
      <c r="E466" s="42" t="n"/>
      <c r="F466" s="43">
        <f>IF(AND(B466="",D466=""),"",IF(D466="","⚠ Escolha o tema",IF(COUNTIF('1. Temas'!$C$8:$C$37,D466)=0,"⚠ Tema não cadastrado","✔ OK")))</f>
        <v/>
      </c>
    </row>
    <row r="467">
      <c r="B467" s="40" t="n"/>
      <c r="C467" s="41" t="n"/>
      <c r="D467" s="42" t="n"/>
      <c r="E467" s="42" t="n"/>
      <c r="F467" s="43">
        <f>IF(AND(B467="",D467=""),"",IF(D467="","⚠ Escolha o tema",IF(COUNTIF('1. Temas'!$C$8:$C$37,D467)=0,"⚠ Tema não cadastrado","✔ OK")))</f>
        <v/>
      </c>
    </row>
    <row r="468">
      <c r="B468" s="40" t="n"/>
      <c r="C468" s="41" t="n"/>
      <c r="D468" s="42" t="n"/>
      <c r="E468" s="42" t="n"/>
      <c r="F468" s="43">
        <f>IF(AND(B468="",D468=""),"",IF(D468="","⚠ Escolha o tema",IF(COUNTIF('1. Temas'!$C$8:$C$37,D468)=0,"⚠ Tema não cadastrado","✔ OK")))</f>
        <v/>
      </c>
    </row>
    <row r="469">
      <c r="B469" s="40" t="n"/>
      <c r="C469" s="41" t="n"/>
      <c r="D469" s="42" t="n"/>
      <c r="E469" s="42" t="n"/>
      <c r="F469" s="43">
        <f>IF(AND(B469="",D469=""),"",IF(D469="","⚠ Escolha o tema",IF(COUNTIF('1. Temas'!$C$8:$C$37,D469)=0,"⚠ Tema não cadastrado","✔ OK")))</f>
        <v/>
      </c>
    </row>
    <row r="470">
      <c r="B470" s="40" t="n"/>
      <c r="C470" s="41" t="n"/>
      <c r="D470" s="42" t="n"/>
      <c r="E470" s="42" t="n"/>
      <c r="F470" s="43">
        <f>IF(AND(B470="",D470=""),"",IF(D470="","⚠ Escolha o tema",IF(COUNTIF('1. Temas'!$C$8:$C$37,D470)=0,"⚠ Tema não cadastrado","✔ OK")))</f>
        <v/>
      </c>
    </row>
    <row r="471">
      <c r="B471" s="40" t="n"/>
      <c r="C471" s="41" t="n"/>
      <c r="D471" s="42" t="n"/>
      <c r="E471" s="42" t="n"/>
      <c r="F471" s="43">
        <f>IF(AND(B471="",D471=""),"",IF(D471="","⚠ Escolha o tema",IF(COUNTIF('1. Temas'!$C$8:$C$37,D471)=0,"⚠ Tema não cadastrado","✔ OK")))</f>
        <v/>
      </c>
    </row>
    <row r="472">
      <c r="B472" s="40" t="n"/>
      <c r="C472" s="41" t="n"/>
      <c r="D472" s="42" t="n"/>
      <c r="E472" s="42" t="n"/>
      <c r="F472" s="43">
        <f>IF(AND(B472="",D472=""),"",IF(D472="","⚠ Escolha o tema",IF(COUNTIF('1. Temas'!$C$8:$C$37,D472)=0,"⚠ Tema não cadastrado","✔ OK")))</f>
        <v/>
      </c>
    </row>
    <row r="473">
      <c r="B473" s="40" t="n"/>
      <c r="C473" s="41" t="n"/>
      <c r="D473" s="42" t="n"/>
      <c r="E473" s="42" t="n"/>
      <c r="F473" s="43">
        <f>IF(AND(B473="",D473=""),"",IF(D473="","⚠ Escolha o tema",IF(COUNTIF('1. Temas'!$C$8:$C$37,D473)=0,"⚠ Tema não cadastrado","✔ OK")))</f>
        <v/>
      </c>
    </row>
    <row r="474">
      <c r="B474" s="40" t="n"/>
      <c r="C474" s="41" t="n"/>
      <c r="D474" s="42" t="n"/>
      <c r="E474" s="42" t="n"/>
      <c r="F474" s="43">
        <f>IF(AND(B474="",D474=""),"",IF(D474="","⚠ Escolha o tema",IF(COUNTIF('1. Temas'!$C$8:$C$37,D474)=0,"⚠ Tema não cadastrado","✔ OK")))</f>
        <v/>
      </c>
    </row>
    <row r="475">
      <c r="B475" s="40" t="n"/>
      <c r="C475" s="41" t="n"/>
      <c r="D475" s="42" t="n"/>
      <c r="E475" s="42" t="n"/>
      <c r="F475" s="43">
        <f>IF(AND(B475="",D475=""),"",IF(D475="","⚠ Escolha o tema",IF(COUNTIF('1. Temas'!$C$8:$C$37,D475)=0,"⚠ Tema não cadastrado","✔ OK")))</f>
        <v/>
      </c>
    </row>
    <row r="476">
      <c r="B476" s="40" t="n"/>
      <c r="C476" s="41" t="n"/>
      <c r="D476" s="42" t="n"/>
      <c r="E476" s="42" t="n"/>
      <c r="F476" s="43">
        <f>IF(AND(B476="",D476=""),"",IF(D476="","⚠ Escolha o tema",IF(COUNTIF('1. Temas'!$C$8:$C$37,D476)=0,"⚠ Tema não cadastrado","✔ OK")))</f>
        <v/>
      </c>
    </row>
    <row r="477">
      <c r="B477" s="40" t="n"/>
      <c r="C477" s="41" t="n"/>
      <c r="D477" s="42" t="n"/>
      <c r="E477" s="42" t="n"/>
      <c r="F477" s="43">
        <f>IF(AND(B477="",D477=""),"",IF(D477="","⚠ Escolha o tema",IF(COUNTIF('1. Temas'!$C$8:$C$37,D477)=0,"⚠ Tema não cadastrado","✔ OK")))</f>
        <v/>
      </c>
    </row>
    <row r="478">
      <c r="B478" s="40" t="n"/>
      <c r="C478" s="41" t="n"/>
      <c r="D478" s="42" t="n"/>
      <c r="E478" s="42" t="n"/>
      <c r="F478" s="43">
        <f>IF(AND(B478="",D478=""),"",IF(D478="","⚠ Escolha o tema",IF(COUNTIF('1. Temas'!$C$8:$C$37,D478)=0,"⚠ Tema não cadastrado","✔ OK")))</f>
        <v/>
      </c>
    </row>
    <row r="479">
      <c r="B479" s="40" t="n"/>
      <c r="C479" s="41" t="n"/>
      <c r="D479" s="42" t="n"/>
      <c r="E479" s="42" t="n"/>
      <c r="F479" s="43">
        <f>IF(AND(B479="",D479=""),"",IF(D479="","⚠ Escolha o tema",IF(COUNTIF('1. Temas'!$C$8:$C$37,D479)=0,"⚠ Tema não cadastrado","✔ OK")))</f>
        <v/>
      </c>
    </row>
    <row r="480">
      <c r="B480" s="40" t="n"/>
      <c r="C480" s="41" t="n"/>
      <c r="D480" s="42" t="n"/>
      <c r="E480" s="42" t="n"/>
      <c r="F480" s="43">
        <f>IF(AND(B480="",D480=""),"",IF(D480="","⚠ Escolha o tema",IF(COUNTIF('1. Temas'!$C$8:$C$37,D480)=0,"⚠ Tema não cadastrado","✔ OK")))</f>
        <v/>
      </c>
    </row>
    <row r="481">
      <c r="B481" s="40" t="n"/>
      <c r="C481" s="41" t="n"/>
      <c r="D481" s="42" t="n"/>
      <c r="E481" s="42" t="n"/>
      <c r="F481" s="43">
        <f>IF(AND(B481="",D481=""),"",IF(D481="","⚠ Escolha o tema",IF(COUNTIF('1. Temas'!$C$8:$C$37,D481)=0,"⚠ Tema não cadastrado","✔ OK")))</f>
        <v/>
      </c>
    </row>
    <row r="482">
      <c r="B482" s="40" t="n"/>
      <c r="C482" s="41" t="n"/>
      <c r="D482" s="42" t="n"/>
      <c r="E482" s="42" t="n"/>
      <c r="F482" s="43">
        <f>IF(AND(B482="",D482=""),"",IF(D482="","⚠ Escolha o tema",IF(COUNTIF('1. Temas'!$C$8:$C$37,D482)=0,"⚠ Tema não cadastrado","✔ OK")))</f>
        <v/>
      </c>
    </row>
    <row r="483">
      <c r="B483" s="40" t="n"/>
      <c r="C483" s="41" t="n"/>
      <c r="D483" s="42" t="n"/>
      <c r="E483" s="42" t="n"/>
      <c r="F483" s="43">
        <f>IF(AND(B483="",D483=""),"",IF(D483="","⚠ Escolha o tema",IF(COUNTIF('1. Temas'!$C$8:$C$37,D483)=0,"⚠ Tema não cadastrado","✔ OK")))</f>
        <v/>
      </c>
    </row>
    <row r="484">
      <c r="B484" s="40" t="n"/>
      <c r="C484" s="41" t="n"/>
      <c r="D484" s="42" t="n"/>
      <c r="E484" s="42" t="n"/>
      <c r="F484" s="43">
        <f>IF(AND(B484="",D484=""),"",IF(D484="","⚠ Escolha o tema",IF(COUNTIF('1. Temas'!$C$8:$C$37,D484)=0,"⚠ Tema não cadastrado","✔ OK")))</f>
        <v/>
      </c>
    </row>
    <row r="485">
      <c r="B485" s="40" t="n"/>
      <c r="C485" s="41" t="n"/>
      <c r="D485" s="42" t="n"/>
      <c r="E485" s="42" t="n"/>
      <c r="F485" s="43">
        <f>IF(AND(B485="",D485=""),"",IF(D485="","⚠ Escolha o tema",IF(COUNTIF('1. Temas'!$C$8:$C$37,D485)=0,"⚠ Tema não cadastrado","✔ OK")))</f>
        <v/>
      </c>
    </row>
    <row r="486">
      <c r="B486" s="40" t="n"/>
      <c r="C486" s="41" t="n"/>
      <c r="D486" s="42" t="n"/>
      <c r="E486" s="42" t="n"/>
      <c r="F486" s="43">
        <f>IF(AND(B486="",D486=""),"",IF(D486="","⚠ Escolha o tema",IF(COUNTIF('1. Temas'!$C$8:$C$37,D486)=0,"⚠ Tema não cadastrado","✔ OK")))</f>
        <v/>
      </c>
    </row>
    <row r="487">
      <c r="B487" s="40" t="n"/>
      <c r="C487" s="41" t="n"/>
      <c r="D487" s="42" t="n"/>
      <c r="E487" s="42" t="n"/>
      <c r="F487" s="43">
        <f>IF(AND(B487="",D487=""),"",IF(D487="","⚠ Escolha o tema",IF(COUNTIF('1. Temas'!$C$8:$C$37,D487)=0,"⚠ Tema não cadastrado","✔ OK")))</f>
        <v/>
      </c>
    </row>
    <row r="488">
      <c r="B488" s="40" t="n"/>
      <c r="C488" s="41" t="n"/>
      <c r="D488" s="42" t="n"/>
      <c r="E488" s="42" t="n"/>
      <c r="F488" s="43">
        <f>IF(AND(B488="",D488=""),"",IF(D488="","⚠ Escolha o tema",IF(COUNTIF('1. Temas'!$C$8:$C$37,D488)=0,"⚠ Tema não cadastrado","✔ OK")))</f>
        <v/>
      </c>
    </row>
    <row r="489">
      <c r="B489" s="40" t="n"/>
      <c r="C489" s="41" t="n"/>
      <c r="D489" s="42" t="n"/>
      <c r="E489" s="42" t="n"/>
      <c r="F489" s="43">
        <f>IF(AND(B489="",D489=""),"",IF(D489="","⚠ Escolha o tema",IF(COUNTIF('1. Temas'!$C$8:$C$37,D489)=0,"⚠ Tema não cadastrado","✔ OK")))</f>
        <v/>
      </c>
    </row>
    <row r="490">
      <c r="B490" s="40" t="n"/>
      <c r="C490" s="41" t="n"/>
      <c r="D490" s="42" t="n"/>
      <c r="E490" s="42" t="n"/>
      <c r="F490" s="43">
        <f>IF(AND(B490="",D490=""),"",IF(D490="","⚠ Escolha o tema",IF(COUNTIF('1. Temas'!$C$8:$C$37,D490)=0,"⚠ Tema não cadastrado","✔ OK")))</f>
        <v/>
      </c>
    </row>
    <row r="491">
      <c r="B491" s="40" t="n"/>
      <c r="C491" s="41" t="n"/>
      <c r="D491" s="42" t="n"/>
      <c r="E491" s="42" t="n"/>
      <c r="F491" s="43">
        <f>IF(AND(B491="",D491=""),"",IF(D491="","⚠ Escolha o tema",IF(COUNTIF('1. Temas'!$C$8:$C$37,D491)=0,"⚠ Tema não cadastrado","✔ OK")))</f>
        <v/>
      </c>
    </row>
    <row r="492">
      <c r="B492" s="40" t="n"/>
      <c r="C492" s="41" t="n"/>
      <c r="D492" s="42" t="n"/>
      <c r="E492" s="42" t="n"/>
      <c r="F492" s="43">
        <f>IF(AND(B492="",D492=""),"",IF(D492="","⚠ Escolha o tema",IF(COUNTIF('1. Temas'!$C$8:$C$37,D492)=0,"⚠ Tema não cadastrado","✔ OK")))</f>
        <v/>
      </c>
    </row>
    <row r="493">
      <c r="B493" s="40" t="n"/>
      <c r="C493" s="41" t="n"/>
      <c r="D493" s="42" t="n"/>
      <c r="E493" s="42" t="n"/>
      <c r="F493" s="43">
        <f>IF(AND(B493="",D493=""),"",IF(D493="","⚠ Escolha o tema",IF(COUNTIF('1. Temas'!$C$8:$C$37,D493)=0,"⚠ Tema não cadastrado","✔ OK")))</f>
        <v/>
      </c>
    </row>
    <row r="494">
      <c r="B494" s="40" t="n"/>
      <c r="C494" s="41" t="n"/>
      <c r="D494" s="42" t="n"/>
      <c r="E494" s="42" t="n"/>
      <c r="F494" s="43">
        <f>IF(AND(B494="",D494=""),"",IF(D494="","⚠ Escolha o tema",IF(COUNTIF('1. Temas'!$C$8:$C$37,D494)=0,"⚠ Tema não cadastrado","✔ OK")))</f>
        <v/>
      </c>
    </row>
    <row r="495">
      <c r="B495" s="40" t="n"/>
      <c r="C495" s="41" t="n"/>
      <c r="D495" s="42" t="n"/>
      <c r="E495" s="42" t="n"/>
      <c r="F495" s="43">
        <f>IF(AND(B495="",D495=""),"",IF(D495="","⚠ Escolha o tema",IF(COUNTIF('1. Temas'!$C$8:$C$37,D495)=0,"⚠ Tema não cadastrado","✔ OK")))</f>
        <v/>
      </c>
    </row>
    <row r="496">
      <c r="B496" s="40" t="n"/>
      <c r="C496" s="41" t="n"/>
      <c r="D496" s="42" t="n"/>
      <c r="E496" s="42" t="n"/>
      <c r="F496" s="43">
        <f>IF(AND(B496="",D496=""),"",IF(D496="","⚠ Escolha o tema",IF(COUNTIF('1. Temas'!$C$8:$C$37,D496)=0,"⚠ Tema não cadastrado","✔ OK")))</f>
        <v/>
      </c>
    </row>
    <row r="497">
      <c r="B497" s="40" t="n"/>
      <c r="C497" s="41" t="n"/>
      <c r="D497" s="42" t="n"/>
      <c r="E497" s="42" t="n"/>
      <c r="F497" s="43">
        <f>IF(AND(B497="",D497=""),"",IF(D497="","⚠ Escolha o tema",IF(COUNTIF('1. Temas'!$C$8:$C$37,D497)=0,"⚠ Tema não cadastrado","✔ OK")))</f>
        <v/>
      </c>
    </row>
    <row r="498">
      <c r="B498" s="40" t="n"/>
      <c r="C498" s="41" t="n"/>
      <c r="D498" s="42" t="n"/>
      <c r="E498" s="42" t="n"/>
      <c r="F498" s="43">
        <f>IF(AND(B498="",D498=""),"",IF(D498="","⚠ Escolha o tema",IF(COUNTIF('1. Temas'!$C$8:$C$37,D498)=0,"⚠ Tema não cadastrado","✔ OK")))</f>
        <v/>
      </c>
    </row>
    <row r="499">
      <c r="B499" s="40" t="n"/>
      <c r="C499" s="41" t="n"/>
      <c r="D499" s="42" t="n"/>
      <c r="E499" s="42" t="n"/>
      <c r="F499" s="43">
        <f>IF(AND(B499="",D499=""),"",IF(D499="","⚠ Escolha o tema",IF(COUNTIF('1. Temas'!$C$8:$C$37,D499)=0,"⚠ Tema não cadastrado","✔ OK")))</f>
        <v/>
      </c>
    </row>
    <row r="500">
      <c r="B500" s="40" t="n"/>
      <c r="C500" s="41" t="n"/>
      <c r="D500" s="42" t="n"/>
      <c r="E500" s="42" t="n"/>
      <c r="F500" s="43">
        <f>IF(AND(B500="",D500=""),"",IF(D500="","⚠ Escolha o tema",IF(COUNTIF('1. Temas'!$C$8:$C$37,D500)=0,"⚠ Tema não cadastrado","✔ OK")))</f>
        <v/>
      </c>
    </row>
    <row r="501">
      <c r="B501" s="40" t="n"/>
      <c r="C501" s="41" t="n"/>
      <c r="D501" s="42" t="n"/>
      <c r="E501" s="42" t="n"/>
      <c r="F501" s="43">
        <f>IF(AND(B501="",D501=""),"",IF(D501="","⚠ Escolha o tema",IF(COUNTIF('1. Temas'!$C$8:$C$37,D501)=0,"⚠ Tema não cadastrado","✔ OK")))</f>
        <v/>
      </c>
    </row>
    <row r="502">
      <c r="B502" s="40" t="n"/>
      <c r="C502" s="41" t="n"/>
      <c r="D502" s="42" t="n"/>
      <c r="E502" s="42" t="n"/>
      <c r="F502" s="43">
        <f>IF(AND(B502="",D502=""),"",IF(D502="","⚠ Escolha o tema",IF(COUNTIF('1. Temas'!$C$8:$C$37,D502)=0,"⚠ Tema não cadastrado","✔ OK")))</f>
        <v/>
      </c>
    </row>
    <row r="503">
      <c r="B503" s="40" t="n"/>
      <c r="C503" s="41" t="n"/>
      <c r="D503" s="42" t="n"/>
      <c r="E503" s="42" t="n"/>
      <c r="F503" s="43">
        <f>IF(AND(B503="",D503=""),"",IF(D503="","⚠ Escolha o tema",IF(COUNTIF('1. Temas'!$C$8:$C$37,D503)=0,"⚠ Tema não cadastrado","✔ OK")))</f>
        <v/>
      </c>
    </row>
    <row r="504">
      <c r="B504" s="40" t="n"/>
      <c r="C504" s="41" t="n"/>
      <c r="D504" s="42" t="n"/>
      <c r="E504" s="42" t="n"/>
      <c r="F504" s="43">
        <f>IF(AND(B504="",D504=""),"",IF(D504="","⚠ Escolha o tema",IF(COUNTIF('1. Temas'!$C$8:$C$37,D504)=0,"⚠ Tema não cadastrado","✔ OK")))</f>
        <v/>
      </c>
    </row>
    <row r="505">
      <c r="B505" s="40" t="n"/>
      <c r="C505" s="41" t="n"/>
      <c r="D505" s="42" t="n"/>
      <c r="E505" s="42" t="n"/>
      <c r="F505" s="43">
        <f>IF(AND(B505="",D505=""),"",IF(D505="","⚠ Escolha o tema",IF(COUNTIF('1. Temas'!$C$8:$C$37,D505)=0,"⚠ Tema não cadastrado","✔ OK")))</f>
        <v/>
      </c>
    </row>
    <row r="506">
      <c r="B506" s="40" t="n"/>
      <c r="C506" s="41" t="n"/>
      <c r="D506" s="42" t="n"/>
      <c r="E506" s="42" t="n"/>
      <c r="F506" s="43">
        <f>IF(AND(B506="",D506=""),"",IF(D506="","⚠ Escolha o tema",IF(COUNTIF('1. Temas'!$C$8:$C$37,D506)=0,"⚠ Tema não cadastrado","✔ OK")))</f>
        <v/>
      </c>
    </row>
    <row r="507">
      <c r="B507" s="40" t="n"/>
      <c r="C507" s="41" t="n"/>
      <c r="D507" s="42" t="n"/>
      <c r="E507" s="42" t="n"/>
      <c r="F507" s="43">
        <f>IF(AND(B507="",D507=""),"",IF(D507="","⚠ Escolha o tema",IF(COUNTIF('1. Temas'!$C$8:$C$37,D507)=0,"⚠ Tema não cadastrado","✔ OK")))</f>
        <v/>
      </c>
    </row>
    <row r="508">
      <c r="B508" s="40" t="n"/>
      <c r="C508" s="41" t="n"/>
      <c r="D508" s="42" t="n"/>
      <c r="E508" s="42" t="n"/>
      <c r="F508" s="43">
        <f>IF(AND(B508="",D508=""),"",IF(D508="","⚠ Escolha o tema",IF(COUNTIF('1. Temas'!$C$8:$C$37,D508)=0,"⚠ Tema não cadastrado","✔ OK")))</f>
        <v/>
      </c>
    </row>
    <row r="509">
      <c r="B509" s="40" t="n"/>
      <c r="C509" s="41" t="n"/>
      <c r="D509" s="42" t="n"/>
      <c r="E509" s="42" t="n"/>
      <c r="F509" s="43">
        <f>IF(AND(B509="",D509=""),"",IF(D509="","⚠ Escolha o tema",IF(COUNTIF('1. Temas'!$C$8:$C$37,D509)=0,"⚠ Tema não cadastrado","✔ OK")))</f>
        <v/>
      </c>
    </row>
    <row r="510">
      <c r="B510" s="40" t="n"/>
      <c r="C510" s="41" t="n"/>
      <c r="D510" s="42" t="n"/>
      <c r="E510" s="42" t="n"/>
      <c r="F510" s="43">
        <f>IF(AND(B510="",D510=""),"",IF(D510="","⚠ Escolha o tema",IF(COUNTIF('1. Temas'!$C$8:$C$37,D510)=0,"⚠ Tema não cadastrado","✔ OK")))</f>
        <v/>
      </c>
    </row>
    <row r="511">
      <c r="B511" s="40" t="n"/>
      <c r="C511" s="41" t="n"/>
      <c r="D511" s="42" t="n"/>
      <c r="E511" s="42" t="n"/>
      <c r="F511" s="43">
        <f>IF(AND(B511="",D511=""),"",IF(D511="","⚠ Escolha o tema",IF(COUNTIF('1. Temas'!$C$8:$C$37,D511)=0,"⚠ Tema não cadastrado","✔ OK")))</f>
        <v/>
      </c>
    </row>
    <row r="512">
      <c r="B512" s="40" t="n"/>
      <c r="C512" s="41" t="n"/>
      <c r="D512" s="42" t="n"/>
      <c r="E512" s="42" t="n"/>
      <c r="F512" s="43">
        <f>IF(AND(B512="",D512=""),"",IF(D512="","⚠ Escolha o tema",IF(COUNTIF('1. Temas'!$C$8:$C$37,D512)=0,"⚠ Tema não cadastrado","✔ OK")))</f>
        <v/>
      </c>
    </row>
    <row r="513">
      <c r="B513" s="40" t="n"/>
      <c r="C513" s="41" t="n"/>
      <c r="D513" s="42" t="n"/>
      <c r="E513" s="42" t="n"/>
      <c r="F513" s="43">
        <f>IF(AND(B513="",D513=""),"",IF(D513="","⚠ Escolha o tema",IF(COUNTIF('1. Temas'!$C$8:$C$37,D513)=0,"⚠ Tema não cadastrado","✔ OK")))</f>
        <v/>
      </c>
    </row>
    <row r="514">
      <c r="B514" s="40" t="n"/>
      <c r="C514" s="41" t="n"/>
      <c r="D514" s="42" t="n"/>
      <c r="E514" s="42" t="n"/>
      <c r="F514" s="43">
        <f>IF(AND(B514="",D514=""),"",IF(D514="","⚠ Escolha o tema",IF(COUNTIF('1. Temas'!$C$8:$C$37,D514)=0,"⚠ Tema não cadastrado","✔ OK")))</f>
        <v/>
      </c>
    </row>
    <row r="515">
      <c r="B515" s="40" t="n"/>
      <c r="C515" s="41" t="n"/>
      <c r="D515" s="42" t="n"/>
      <c r="E515" s="42" t="n"/>
      <c r="F515" s="43">
        <f>IF(AND(B515="",D515=""),"",IF(D515="","⚠ Escolha o tema",IF(COUNTIF('1. Temas'!$C$8:$C$37,D515)=0,"⚠ Tema não cadastrado","✔ OK")))</f>
        <v/>
      </c>
    </row>
    <row r="516">
      <c r="B516" s="40" t="n"/>
      <c r="C516" s="41" t="n"/>
      <c r="D516" s="42" t="n"/>
      <c r="E516" s="42" t="n"/>
      <c r="F516" s="43">
        <f>IF(AND(B516="",D516=""),"",IF(D516="","⚠ Escolha o tema",IF(COUNTIF('1. Temas'!$C$8:$C$37,D516)=0,"⚠ Tema não cadastrado","✔ OK")))</f>
        <v/>
      </c>
    </row>
    <row r="517">
      <c r="B517" s="40" t="n"/>
      <c r="C517" s="41" t="n"/>
      <c r="D517" s="42" t="n"/>
      <c r="E517" s="42" t="n"/>
      <c r="F517" s="43">
        <f>IF(AND(B517="",D517=""),"",IF(D517="","⚠ Escolha o tema",IF(COUNTIF('1. Temas'!$C$8:$C$37,D517)=0,"⚠ Tema não cadastrado","✔ OK")))</f>
        <v/>
      </c>
    </row>
    <row r="518">
      <c r="B518" s="40" t="n"/>
      <c r="C518" s="41" t="n"/>
      <c r="D518" s="42" t="n"/>
      <c r="E518" s="42" t="n"/>
      <c r="F518" s="43">
        <f>IF(AND(B518="",D518=""),"",IF(D518="","⚠ Escolha o tema",IF(COUNTIF('1. Temas'!$C$8:$C$37,D518)=0,"⚠ Tema não cadastrado","✔ OK")))</f>
        <v/>
      </c>
    </row>
    <row r="519">
      <c r="B519" s="40" t="n"/>
      <c r="C519" s="41" t="n"/>
      <c r="D519" s="42" t="n"/>
      <c r="E519" s="42" t="n"/>
      <c r="F519" s="43">
        <f>IF(AND(B519="",D519=""),"",IF(D519="","⚠ Escolha o tema",IF(COUNTIF('1. Temas'!$C$8:$C$37,D519)=0,"⚠ Tema não cadastrado","✔ OK")))</f>
        <v/>
      </c>
    </row>
    <row r="520">
      <c r="B520" s="40" t="n"/>
      <c r="C520" s="41" t="n"/>
      <c r="D520" s="42" t="n"/>
      <c r="E520" s="42" t="n"/>
      <c r="F520" s="43">
        <f>IF(AND(B520="",D520=""),"",IF(D520="","⚠ Escolha o tema",IF(COUNTIF('1. Temas'!$C$8:$C$37,D520)=0,"⚠ Tema não cadastrado","✔ OK")))</f>
        <v/>
      </c>
    </row>
    <row r="521">
      <c r="B521" s="40" t="n"/>
      <c r="C521" s="41" t="n"/>
      <c r="D521" s="42" t="n"/>
      <c r="E521" s="42" t="n"/>
      <c r="F521" s="43">
        <f>IF(AND(B521="",D521=""),"",IF(D521="","⚠ Escolha o tema",IF(COUNTIF('1. Temas'!$C$8:$C$37,D521)=0,"⚠ Tema não cadastrado","✔ OK")))</f>
        <v/>
      </c>
    </row>
    <row r="522">
      <c r="B522" s="40" t="n"/>
      <c r="C522" s="41" t="n"/>
      <c r="D522" s="42" t="n"/>
      <c r="E522" s="42" t="n"/>
      <c r="F522" s="43">
        <f>IF(AND(B522="",D522=""),"",IF(D522="","⚠ Escolha o tema",IF(COUNTIF('1. Temas'!$C$8:$C$37,D522)=0,"⚠ Tema não cadastrado","✔ OK")))</f>
        <v/>
      </c>
    </row>
    <row r="523">
      <c r="B523" s="40" t="n"/>
      <c r="C523" s="41" t="n"/>
      <c r="D523" s="42" t="n"/>
      <c r="E523" s="42" t="n"/>
      <c r="F523" s="43">
        <f>IF(AND(B523="",D523=""),"",IF(D523="","⚠ Escolha o tema",IF(COUNTIF('1. Temas'!$C$8:$C$37,D523)=0,"⚠ Tema não cadastrado","✔ OK")))</f>
        <v/>
      </c>
    </row>
    <row r="524">
      <c r="B524" s="40" t="n"/>
      <c r="C524" s="41" t="n"/>
      <c r="D524" s="42" t="n"/>
      <c r="E524" s="42" t="n"/>
      <c r="F524" s="43">
        <f>IF(AND(B524="",D524=""),"",IF(D524="","⚠ Escolha o tema",IF(COUNTIF('1. Temas'!$C$8:$C$37,D524)=0,"⚠ Tema não cadastrado","✔ OK")))</f>
        <v/>
      </c>
    </row>
    <row r="525">
      <c r="B525" s="40" t="n"/>
      <c r="C525" s="41" t="n"/>
      <c r="D525" s="42" t="n"/>
      <c r="E525" s="42" t="n"/>
      <c r="F525" s="43">
        <f>IF(AND(B525="",D525=""),"",IF(D525="","⚠ Escolha o tema",IF(COUNTIF('1. Temas'!$C$8:$C$37,D525)=0,"⚠ Tema não cadastrado","✔ OK")))</f>
        <v/>
      </c>
    </row>
    <row r="526">
      <c r="B526" s="40" t="n"/>
      <c r="C526" s="41" t="n"/>
      <c r="D526" s="42" t="n"/>
      <c r="E526" s="42" t="n"/>
      <c r="F526" s="43">
        <f>IF(AND(B526="",D526=""),"",IF(D526="","⚠ Escolha o tema",IF(COUNTIF('1. Temas'!$C$8:$C$37,D526)=0,"⚠ Tema não cadastrado","✔ OK")))</f>
        <v/>
      </c>
    </row>
    <row r="527">
      <c r="B527" s="40" t="n"/>
      <c r="C527" s="41" t="n"/>
      <c r="D527" s="42" t="n"/>
      <c r="E527" s="42" t="n"/>
      <c r="F527" s="43">
        <f>IF(AND(B527="",D527=""),"",IF(D527="","⚠ Escolha o tema",IF(COUNTIF('1. Temas'!$C$8:$C$37,D527)=0,"⚠ Tema não cadastrado","✔ OK")))</f>
        <v/>
      </c>
    </row>
    <row r="528">
      <c r="B528" s="40" t="n"/>
      <c r="C528" s="41" t="n"/>
      <c r="D528" s="42" t="n"/>
      <c r="E528" s="42" t="n"/>
      <c r="F528" s="43">
        <f>IF(AND(B528="",D528=""),"",IF(D528="","⚠ Escolha o tema",IF(COUNTIF('1. Temas'!$C$8:$C$37,D528)=0,"⚠ Tema não cadastrado","✔ OK")))</f>
        <v/>
      </c>
    </row>
    <row r="529">
      <c r="B529" s="40" t="n"/>
      <c r="C529" s="41" t="n"/>
      <c r="D529" s="42" t="n"/>
      <c r="E529" s="42" t="n"/>
      <c r="F529" s="43">
        <f>IF(AND(B529="",D529=""),"",IF(D529="","⚠ Escolha o tema",IF(COUNTIF('1. Temas'!$C$8:$C$37,D529)=0,"⚠ Tema não cadastrado","✔ OK")))</f>
        <v/>
      </c>
    </row>
    <row r="530">
      <c r="B530" s="40" t="n"/>
      <c r="C530" s="41" t="n"/>
      <c r="D530" s="42" t="n"/>
      <c r="E530" s="42" t="n"/>
      <c r="F530" s="43">
        <f>IF(AND(B530="",D530=""),"",IF(D530="","⚠ Escolha o tema",IF(COUNTIF('1. Temas'!$C$8:$C$37,D530)=0,"⚠ Tema não cadastrado","✔ OK")))</f>
        <v/>
      </c>
    </row>
    <row r="531">
      <c r="B531" s="40" t="n"/>
      <c r="C531" s="41" t="n"/>
      <c r="D531" s="42" t="n"/>
      <c r="E531" s="42" t="n"/>
      <c r="F531" s="43">
        <f>IF(AND(B531="",D531=""),"",IF(D531="","⚠ Escolha o tema",IF(COUNTIF('1. Temas'!$C$8:$C$37,D531)=0,"⚠ Tema não cadastrado","✔ OK")))</f>
        <v/>
      </c>
    </row>
    <row r="532">
      <c r="B532" s="40" t="n"/>
      <c r="C532" s="41" t="n"/>
      <c r="D532" s="42" t="n"/>
      <c r="E532" s="42" t="n"/>
      <c r="F532" s="43">
        <f>IF(AND(B532="",D532=""),"",IF(D532="","⚠ Escolha o tema",IF(COUNTIF('1. Temas'!$C$8:$C$37,D532)=0,"⚠ Tema não cadastrado","✔ OK")))</f>
        <v/>
      </c>
    </row>
    <row r="533">
      <c r="B533" s="40" t="n"/>
      <c r="C533" s="41" t="n"/>
      <c r="D533" s="42" t="n"/>
      <c r="E533" s="42" t="n"/>
      <c r="F533" s="43">
        <f>IF(AND(B533="",D533=""),"",IF(D533="","⚠ Escolha o tema",IF(COUNTIF('1. Temas'!$C$8:$C$37,D533)=0,"⚠ Tema não cadastrado","✔ OK")))</f>
        <v/>
      </c>
    </row>
    <row r="534">
      <c r="B534" s="40" t="n"/>
      <c r="C534" s="41" t="n"/>
      <c r="D534" s="42" t="n"/>
      <c r="E534" s="42" t="n"/>
      <c r="F534" s="43">
        <f>IF(AND(B534="",D534=""),"",IF(D534="","⚠ Escolha o tema",IF(COUNTIF('1. Temas'!$C$8:$C$37,D534)=0,"⚠ Tema não cadastrado","✔ OK")))</f>
        <v/>
      </c>
    </row>
    <row r="535">
      <c r="B535" s="40" t="n"/>
      <c r="C535" s="41" t="n"/>
      <c r="D535" s="42" t="n"/>
      <c r="E535" s="42" t="n"/>
      <c r="F535" s="43">
        <f>IF(AND(B535="",D535=""),"",IF(D535="","⚠ Escolha o tema",IF(COUNTIF('1. Temas'!$C$8:$C$37,D535)=0,"⚠ Tema não cadastrado","✔ OK")))</f>
        <v/>
      </c>
    </row>
    <row r="536">
      <c r="B536" s="40" t="n"/>
      <c r="C536" s="41" t="n"/>
      <c r="D536" s="42" t="n"/>
      <c r="E536" s="42" t="n"/>
      <c r="F536" s="43">
        <f>IF(AND(B536="",D536=""),"",IF(D536="","⚠ Escolha o tema",IF(COUNTIF('1. Temas'!$C$8:$C$37,D536)=0,"⚠ Tema não cadastrado","✔ OK")))</f>
        <v/>
      </c>
    </row>
    <row r="537">
      <c r="B537" s="40" t="n"/>
      <c r="C537" s="41" t="n"/>
      <c r="D537" s="42" t="n"/>
      <c r="E537" s="42" t="n"/>
      <c r="F537" s="43">
        <f>IF(AND(B537="",D537=""),"",IF(D537="","⚠ Escolha o tema",IF(COUNTIF('1. Temas'!$C$8:$C$37,D537)=0,"⚠ Tema não cadastrado","✔ OK")))</f>
        <v/>
      </c>
    </row>
    <row r="538">
      <c r="B538" s="40" t="n"/>
      <c r="C538" s="41" t="n"/>
      <c r="D538" s="42" t="n"/>
      <c r="E538" s="42" t="n"/>
      <c r="F538" s="43">
        <f>IF(AND(B538="",D538=""),"",IF(D538="","⚠ Escolha o tema",IF(COUNTIF('1. Temas'!$C$8:$C$37,D538)=0,"⚠ Tema não cadastrado","✔ OK")))</f>
        <v/>
      </c>
    </row>
    <row r="539">
      <c r="B539" s="40" t="n"/>
      <c r="C539" s="41" t="n"/>
      <c r="D539" s="42" t="n"/>
      <c r="E539" s="42" t="n"/>
      <c r="F539" s="43">
        <f>IF(AND(B539="",D539=""),"",IF(D539="","⚠ Escolha o tema",IF(COUNTIF('1. Temas'!$C$8:$C$37,D539)=0,"⚠ Tema não cadastrado","✔ OK")))</f>
        <v/>
      </c>
    </row>
    <row r="540">
      <c r="B540" s="40" t="n"/>
      <c r="C540" s="41" t="n"/>
      <c r="D540" s="42" t="n"/>
      <c r="E540" s="42" t="n"/>
      <c r="F540" s="43">
        <f>IF(AND(B540="",D540=""),"",IF(D540="","⚠ Escolha o tema",IF(COUNTIF('1. Temas'!$C$8:$C$37,D540)=0,"⚠ Tema não cadastrado","✔ OK")))</f>
        <v/>
      </c>
    </row>
    <row r="541">
      <c r="B541" s="40" t="n"/>
      <c r="C541" s="41" t="n"/>
      <c r="D541" s="42" t="n"/>
      <c r="E541" s="42" t="n"/>
      <c r="F541" s="43">
        <f>IF(AND(B541="",D541=""),"",IF(D541="","⚠ Escolha o tema",IF(COUNTIF('1. Temas'!$C$8:$C$37,D541)=0,"⚠ Tema não cadastrado","✔ OK")))</f>
        <v/>
      </c>
    </row>
    <row r="542">
      <c r="B542" s="40" t="n"/>
      <c r="C542" s="41" t="n"/>
      <c r="D542" s="42" t="n"/>
      <c r="E542" s="42" t="n"/>
      <c r="F542" s="43">
        <f>IF(AND(B542="",D542=""),"",IF(D542="","⚠ Escolha o tema",IF(COUNTIF('1. Temas'!$C$8:$C$37,D542)=0,"⚠ Tema não cadastrado","✔ OK")))</f>
        <v/>
      </c>
    </row>
    <row r="543">
      <c r="B543" s="40" t="n"/>
      <c r="C543" s="41" t="n"/>
      <c r="D543" s="42" t="n"/>
      <c r="E543" s="42" t="n"/>
      <c r="F543" s="43">
        <f>IF(AND(B543="",D543=""),"",IF(D543="","⚠ Escolha o tema",IF(COUNTIF('1. Temas'!$C$8:$C$37,D543)=0,"⚠ Tema não cadastrado","✔ OK")))</f>
        <v/>
      </c>
    </row>
    <row r="544">
      <c r="B544" s="40" t="n"/>
      <c r="C544" s="41" t="n"/>
      <c r="D544" s="42" t="n"/>
      <c r="E544" s="42" t="n"/>
      <c r="F544" s="43">
        <f>IF(AND(B544="",D544=""),"",IF(D544="","⚠ Escolha o tema",IF(COUNTIF('1. Temas'!$C$8:$C$37,D544)=0,"⚠ Tema não cadastrado","✔ OK")))</f>
        <v/>
      </c>
    </row>
    <row r="545">
      <c r="B545" s="40" t="n"/>
      <c r="C545" s="41" t="n"/>
      <c r="D545" s="42" t="n"/>
      <c r="E545" s="42" t="n"/>
      <c r="F545" s="43">
        <f>IF(AND(B545="",D545=""),"",IF(D545="","⚠ Escolha o tema",IF(COUNTIF('1. Temas'!$C$8:$C$37,D545)=0,"⚠ Tema não cadastrado","✔ OK")))</f>
        <v/>
      </c>
    </row>
    <row r="546">
      <c r="B546" s="40" t="n"/>
      <c r="C546" s="41" t="n"/>
      <c r="D546" s="42" t="n"/>
      <c r="E546" s="42" t="n"/>
      <c r="F546" s="43">
        <f>IF(AND(B546="",D546=""),"",IF(D546="","⚠ Escolha o tema",IF(COUNTIF('1. Temas'!$C$8:$C$37,D546)=0,"⚠ Tema não cadastrado","✔ OK")))</f>
        <v/>
      </c>
    </row>
    <row r="547">
      <c r="B547" s="40" t="n"/>
      <c r="C547" s="41" t="n"/>
      <c r="D547" s="42" t="n"/>
      <c r="E547" s="42" t="n"/>
      <c r="F547" s="43">
        <f>IF(AND(B547="",D547=""),"",IF(D547="","⚠ Escolha o tema",IF(COUNTIF('1. Temas'!$C$8:$C$37,D547)=0,"⚠ Tema não cadastrado","✔ OK")))</f>
        <v/>
      </c>
    </row>
    <row r="548">
      <c r="B548" s="40" t="n"/>
      <c r="C548" s="41" t="n"/>
      <c r="D548" s="42" t="n"/>
      <c r="E548" s="42" t="n"/>
      <c r="F548" s="43">
        <f>IF(AND(B548="",D548=""),"",IF(D548="","⚠ Escolha o tema",IF(COUNTIF('1. Temas'!$C$8:$C$37,D548)=0,"⚠ Tema não cadastrado","✔ OK")))</f>
        <v/>
      </c>
    </row>
    <row r="549">
      <c r="B549" s="40" t="n"/>
      <c r="C549" s="41" t="n"/>
      <c r="D549" s="42" t="n"/>
      <c r="E549" s="42" t="n"/>
      <c r="F549" s="43">
        <f>IF(AND(B549="",D549=""),"",IF(D549="","⚠ Escolha o tema",IF(COUNTIF('1. Temas'!$C$8:$C$37,D549)=0,"⚠ Tema não cadastrado","✔ OK")))</f>
        <v/>
      </c>
    </row>
    <row r="550">
      <c r="B550" s="40" t="n"/>
      <c r="C550" s="41" t="n"/>
      <c r="D550" s="42" t="n"/>
      <c r="E550" s="42" t="n"/>
      <c r="F550" s="43">
        <f>IF(AND(B550="",D550=""),"",IF(D550="","⚠ Escolha o tema",IF(COUNTIF('1. Temas'!$C$8:$C$37,D550)=0,"⚠ Tema não cadastrado","✔ OK")))</f>
        <v/>
      </c>
    </row>
    <row r="551">
      <c r="B551" s="40" t="n"/>
      <c r="C551" s="41" t="n"/>
      <c r="D551" s="42" t="n"/>
      <c r="E551" s="42" t="n"/>
      <c r="F551" s="43">
        <f>IF(AND(B551="",D551=""),"",IF(D551="","⚠ Escolha o tema",IF(COUNTIF('1. Temas'!$C$8:$C$37,D551)=0,"⚠ Tema não cadastrado","✔ OK")))</f>
        <v/>
      </c>
    </row>
    <row r="552">
      <c r="B552" s="40" t="n"/>
      <c r="C552" s="41" t="n"/>
      <c r="D552" s="42" t="n"/>
      <c r="E552" s="42" t="n"/>
      <c r="F552" s="43">
        <f>IF(AND(B552="",D552=""),"",IF(D552="","⚠ Escolha o tema",IF(COUNTIF('1. Temas'!$C$8:$C$37,D552)=0,"⚠ Tema não cadastrado","✔ OK")))</f>
        <v/>
      </c>
    </row>
    <row r="553">
      <c r="B553" s="40" t="n"/>
      <c r="C553" s="41" t="n"/>
      <c r="D553" s="42" t="n"/>
      <c r="E553" s="42" t="n"/>
      <c r="F553" s="43">
        <f>IF(AND(B553="",D553=""),"",IF(D553="","⚠ Escolha o tema",IF(COUNTIF('1. Temas'!$C$8:$C$37,D553)=0,"⚠ Tema não cadastrado","✔ OK")))</f>
        <v/>
      </c>
    </row>
    <row r="554">
      <c r="B554" s="40" t="n"/>
      <c r="C554" s="41" t="n"/>
      <c r="D554" s="42" t="n"/>
      <c r="E554" s="42" t="n"/>
      <c r="F554" s="43">
        <f>IF(AND(B554="",D554=""),"",IF(D554="","⚠ Escolha o tema",IF(COUNTIF('1. Temas'!$C$8:$C$37,D554)=0,"⚠ Tema não cadastrado","✔ OK")))</f>
        <v/>
      </c>
    </row>
    <row r="555">
      <c r="B555" s="40" t="n"/>
      <c r="C555" s="41" t="n"/>
      <c r="D555" s="42" t="n"/>
      <c r="E555" s="42" t="n"/>
      <c r="F555" s="43">
        <f>IF(AND(B555="",D555=""),"",IF(D555="","⚠ Escolha o tema",IF(COUNTIF('1. Temas'!$C$8:$C$37,D555)=0,"⚠ Tema não cadastrado","✔ OK")))</f>
        <v/>
      </c>
    </row>
    <row r="556">
      <c r="B556" s="40" t="n"/>
      <c r="C556" s="41" t="n"/>
      <c r="D556" s="42" t="n"/>
      <c r="E556" s="42" t="n"/>
      <c r="F556" s="43">
        <f>IF(AND(B556="",D556=""),"",IF(D556="","⚠ Escolha o tema",IF(COUNTIF('1. Temas'!$C$8:$C$37,D556)=0,"⚠ Tema não cadastrado","✔ OK")))</f>
        <v/>
      </c>
    </row>
    <row r="557">
      <c r="B557" s="40" t="n"/>
      <c r="C557" s="41" t="n"/>
      <c r="D557" s="42" t="n"/>
      <c r="E557" s="42" t="n"/>
      <c r="F557" s="43">
        <f>IF(AND(B557="",D557=""),"",IF(D557="","⚠ Escolha o tema",IF(COUNTIF('1. Temas'!$C$8:$C$37,D557)=0,"⚠ Tema não cadastrado","✔ OK")))</f>
        <v/>
      </c>
    </row>
    <row r="558">
      <c r="B558" s="40" t="n"/>
      <c r="C558" s="41" t="n"/>
      <c r="D558" s="42" t="n"/>
      <c r="E558" s="42" t="n"/>
      <c r="F558" s="43">
        <f>IF(AND(B558="",D558=""),"",IF(D558="","⚠ Escolha o tema",IF(COUNTIF('1. Temas'!$C$8:$C$37,D558)=0,"⚠ Tema não cadastrado","✔ OK")))</f>
        <v/>
      </c>
    </row>
    <row r="559">
      <c r="B559" s="40" t="n"/>
      <c r="C559" s="41" t="n"/>
      <c r="D559" s="42" t="n"/>
      <c r="E559" s="42" t="n"/>
      <c r="F559" s="43">
        <f>IF(AND(B559="",D559=""),"",IF(D559="","⚠ Escolha o tema",IF(COUNTIF('1. Temas'!$C$8:$C$37,D559)=0,"⚠ Tema não cadastrado","✔ OK")))</f>
        <v/>
      </c>
    </row>
    <row r="560">
      <c r="B560" s="40" t="n"/>
      <c r="C560" s="41" t="n"/>
      <c r="D560" s="42" t="n"/>
      <c r="E560" s="42" t="n"/>
      <c r="F560" s="43">
        <f>IF(AND(B560="",D560=""),"",IF(D560="","⚠ Escolha o tema",IF(COUNTIF('1. Temas'!$C$8:$C$37,D560)=0,"⚠ Tema não cadastrado","✔ OK")))</f>
        <v/>
      </c>
    </row>
    <row r="561">
      <c r="B561" s="40" t="n"/>
      <c r="C561" s="41" t="n"/>
      <c r="D561" s="42" t="n"/>
      <c r="E561" s="42" t="n"/>
      <c r="F561" s="43">
        <f>IF(AND(B561="",D561=""),"",IF(D561="","⚠ Escolha o tema",IF(COUNTIF('1. Temas'!$C$8:$C$37,D561)=0,"⚠ Tema não cadastrado","✔ OK")))</f>
        <v/>
      </c>
    </row>
    <row r="562">
      <c r="B562" s="40" t="n"/>
      <c r="C562" s="41" t="n"/>
      <c r="D562" s="42" t="n"/>
      <c r="E562" s="42" t="n"/>
      <c r="F562" s="43">
        <f>IF(AND(B562="",D562=""),"",IF(D562="","⚠ Escolha o tema",IF(COUNTIF('1. Temas'!$C$8:$C$37,D562)=0,"⚠ Tema não cadastrado","✔ OK")))</f>
        <v/>
      </c>
    </row>
    <row r="563">
      <c r="B563" s="40" t="n"/>
      <c r="C563" s="41" t="n"/>
      <c r="D563" s="42" t="n"/>
      <c r="E563" s="42" t="n"/>
      <c r="F563" s="43">
        <f>IF(AND(B563="",D563=""),"",IF(D563="","⚠ Escolha o tema",IF(COUNTIF('1. Temas'!$C$8:$C$37,D563)=0,"⚠ Tema não cadastrado","✔ OK")))</f>
        <v/>
      </c>
    </row>
    <row r="564">
      <c r="B564" s="40" t="n"/>
      <c r="C564" s="41" t="n"/>
      <c r="D564" s="42" t="n"/>
      <c r="E564" s="42" t="n"/>
      <c r="F564" s="43">
        <f>IF(AND(B564="",D564=""),"",IF(D564="","⚠ Escolha o tema",IF(COUNTIF('1. Temas'!$C$8:$C$37,D564)=0,"⚠ Tema não cadastrado","✔ OK")))</f>
        <v/>
      </c>
    </row>
    <row r="565">
      <c r="B565" s="40" t="n"/>
      <c r="C565" s="41" t="n"/>
      <c r="D565" s="42" t="n"/>
      <c r="E565" s="42" t="n"/>
      <c r="F565" s="43">
        <f>IF(AND(B565="",D565=""),"",IF(D565="","⚠ Escolha o tema",IF(COUNTIF('1. Temas'!$C$8:$C$37,D565)=0,"⚠ Tema não cadastrado","✔ OK")))</f>
        <v/>
      </c>
    </row>
    <row r="566">
      <c r="B566" s="40" t="n"/>
      <c r="C566" s="41" t="n"/>
      <c r="D566" s="42" t="n"/>
      <c r="E566" s="42" t="n"/>
      <c r="F566" s="43">
        <f>IF(AND(B566="",D566=""),"",IF(D566="","⚠ Escolha o tema",IF(COUNTIF('1. Temas'!$C$8:$C$37,D566)=0,"⚠ Tema não cadastrado","✔ OK")))</f>
        <v/>
      </c>
    </row>
    <row r="567">
      <c r="B567" s="40" t="n"/>
      <c r="C567" s="41" t="n"/>
      <c r="D567" s="42" t="n"/>
      <c r="E567" s="42" t="n"/>
      <c r="F567" s="43">
        <f>IF(AND(B567="",D567=""),"",IF(D567="","⚠ Escolha o tema",IF(COUNTIF('1. Temas'!$C$8:$C$37,D567)=0,"⚠ Tema não cadastrado","✔ OK")))</f>
        <v/>
      </c>
    </row>
    <row r="568">
      <c r="B568" s="40" t="n"/>
      <c r="C568" s="41" t="n"/>
      <c r="D568" s="42" t="n"/>
      <c r="E568" s="42" t="n"/>
      <c r="F568" s="43">
        <f>IF(AND(B568="",D568=""),"",IF(D568="","⚠ Escolha o tema",IF(COUNTIF('1. Temas'!$C$8:$C$37,D568)=0,"⚠ Tema não cadastrado","✔ OK")))</f>
        <v/>
      </c>
    </row>
    <row r="569">
      <c r="B569" s="40" t="n"/>
      <c r="C569" s="41" t="n"/>
      <c r="D569" s="42" t="n"/>
      <c r="E569" s="42" t="n"/>
      <c r="F569" s="43">
        <f>IF(AND(B569="",D569=""),"",IF(D569="","⚠ Escolha o tema",IF(COUNTIF('1. Temas'!$C$8:$C$37,D569)=0,"⚠ Tema não cadastrado","✔ OK")))</f>
        <v/>
      </c>
    </row>
    <row r="570">
      <c r="B570" s="40" t="n"/>
      <c r="C570" s="41" t="n"/>
      <c r="D570" s="42" t="n"/>
      <c r="E570" s="42" t="n"/>
      <c r="F570" s="43">
        <f>IF(AND(B570="",D570=""),"",IF(D570="","⚠ Escolha o tema",IF(COUNTIF('1. Temas'!$C$8:$C$37,D570)=0,"⚠ Tema não cadastrado","✔ OK")))</f>
        <v/>
      </c>
    </row>
    <row r="571">
      <c r="B571" s="40" t="n"/>
      <c r="C571" s="41" t="n"/>
      <c r="D571" s="42" t="n"/>
      <c r="E571" s="42" t="n"/>
      <c r="F571" s="43">
        <f>IF(AND(B571="",D571=""),"",IF(D571="","⚠ Escolha o tema",IF(COUNTIF('1. Temas'!$C$8:$C$37,D571)=0,"⚠ Tema não cadastrado","✔ OK")))</f>
        <v/>
      </c>
    </row>
    <row r="572">
      <c r="B572" s="40" t="n"/>
      <c r="C572" s="41" t="n"/>
      <c r="D572" s="42" t="n"/>
      <c r="E572" s="42" t="n"/>
      <c r="F572" s="43">
        <f>IF(AND(B572="",D572=""),"",IF(D572="","⚠ Escolha o tema",IF(COUNTIF('1. Temas'!$C$8:$C$37,D572)=0,"⚠ Tema não cadastrado","✔ OK")))</f>
        <v/>
      </c>
    </row>
    <row r="573">
      <c r="B573" s="40" t="n"/>
      <c r="C573" s="41" t="n"/>
      <c r="D573" s="42" t="n"/>
      <c r="E573" s="42" t="n"/>
      <c r="F573" s="43">
        <f>IF(AND(B573="",D573=""),"",IF(D573="","⚠ Escolha o tema",IF(COUNTIF('1. Temas'!$C$8:$C$37,D573)=0,"⚠ Tema não cadastrado","✔ OK")))</f>
        <v/>
      </c>
    </row>
    <row r="574">
      <c r="B574" s="40" t="n"/>
      <c r="C574" s="41" t="n"/>
      <c r="D574" s="42" t="n"/>
      <c r="E574" s="42" t="n"/>
      <c r="F574" s="43">
        <f>IF(AND(B574="",D574=""),"",IF(D574="","⚠ Escolha o tema",IF(COUNTIF('1. Temas'!$C$8:$C$37,D574)=0,"⚠ Tema não cadastrado","✔ OK")))</f>
        <v/>
      </c>
    </row>
    <row r="575">
      <c r="B575" s="40" t="n"/>
      <c r="C575" s="41" t="n"/>
      <c r="D575" s="42" t="n"/>
      <c r="E575" s="42" t="n"/>
      <c r="F575" s="43">
        <f>IF(AND(B575="",D575=""),"",IF(D575="","⚠ Escolha o tema",IF(COUNTIF('1. Temas'!$C$8:$C$37,D575)=0,"⚠ Tema não cadastrado","✔ OK")))</f>
        <v/>
      </c>
    </row>
    <row r="576">
      <c r="B576" s="40" t="n"/>
      <c r="C576" s="41" t="n"/>
      <c r="D576" s="42" t="n"/>
      <c r="E576" s="42" t="n"/>
      <c r="F576" s="43">
        <f>IF(AND(B576="",D576=""),"",IF(D576="","⚠ Escolha o tema",IF(COUNTIF('1. Temas'!$C$8:$C$37,D576)=0,"⚠ Tema não cadastrado","✔ OK")))</f>
        <v/>
      </c>
    </row>
    <row r="577">
      <c r="B577" s="40" t="n"/>
      <c r="C577" s="41" t="n"/>
      <c r="D577" s="42" t="n"/>
      <c r="E577" s="42" t="n"/>
      <c r="F577" s="43">
        <f>IF(AND(B577="",D577=""),"",IF(D577="","⚠ Escolha o tema",IF(COUNTIF('1. Temas'!$C$8:$C$37,D577)=0,"⚠ Tema não cadastrado","✔ OK")))</f>
        <v/>
      </c>
    </row>
    <row r="578">
      <c r="B578" s="40" t="n"/>
      <c r="C578" s="41" t="n"/>
      <c r="D578" s="42" t="n"/>
      <c r="E578" s="42" t="n"/>
      <c r="F578" s="43">
        <f>IF(AND(B578="",D578=""),"",IF(D578="","⚠ Escolha o tema",IF(COUNTIF('1. Temas'!$C$8:$C$37,D578)=0,"⚠ Tema não cadastrado","✔ OK")))</f>
        <v/>
      </c>
    </row>
    <row r="579">
      <c r="B579" s="40" t="n"/>
      <c r="C579" s="41" t="n"/>
      <c r="D579" s="42" t="n"/>
      <c r="E579" s="42" t="n"/>
      <c r="F579" s="43">
        <f>IF(AND(B579="",D579=""),"",IF(D579="","⚠ Escolha o tema",IF(COUNTIF('1. Temas'!$C$8:$C$37,D579)=0,"⚠ Tema não cadastrado","✔ OK")))</f>
        <v/>
      </c>
    </row>
    <row r="580">
      <c r="B580" s="40" t="n"/>
      <c r="C580" s="41" t="n"/>
      <c r="D580" s="42" t="n"/>
      <c r="E580" s="42" t="n"/>
      <c r="F580" s="43">
        <f>IF(AND(B580="",D580=""),"",IF(D580="","⚠ Escolha o tema",IF(COUNTIF('1. Temas'!$C$8:$C$37,D580)=0,"⚠ Tema não cadastrado","✔ OK")))</f>
        <v/>
      </c>
    </row>
    <row r="581">
      <c r="B581" s="40" t="n"/>
      <c r="C581" s="41" t="n"/>
      <c r="D581" s="42" t="n"/>
      <c r="E581" s="42" t="n"/>
      <c r="F581" s="43">
        <f>IF(AND(B581="",D581=""),"",IF(D581="","⚠ Escolha o tema",IF(COUNTIF('1. Temas'!$C$8:$C$37,D581)=0,"⚠ Tema não cadastrado","✔ OK")))</f>
        <v/>
      </c>
    </row>
    <row r="582">
      <c r="B582" s="40" t="n"/>
      <c r="C582" s="41" t="n"/>
      <c r="D582" s="42" t="n"/>
      <c r="E582" s="42" t="n"/>
      <c r="F582" s="43">
        <f>IF(AND(B582="",D582=""),"",IF(D582="","⚠ Escolha o tema",IF(COUNTIF('1. Temas'!$C$8:$C$37,D582)=0,"⚠ Tema não cadastrado","✔ OK")))</f>
        <v/>
      </c>
    </row>
    <row r="583">
      <c r="B583" s="40" t="n"/>
      <c r="C583" s="41" t="n"/>
      <c r="D583" s="42" t="n"/>
      <c r="E583" s="42" t="n"/>
      <c r="F583" s="43">
        <f>IF(AND(B583="",D583=""),"",IF(D583="","⚠ Escolha o tema",IF(COUNTIF('1. Temas'!$C$8:$C$37,D583)=0,"⚠ Tema não cadastrado","✔ OK")))</f>
        <v/>
      </c>
    </row>
    <row r="584">
      <c r="B584" s="40" t="n"/>
      <c r="C584" s="41" t="n"/>
      <c r="D584" s="42" t="n"/>
      <c r="E584" s="42" t="n"/>
      <c r="F584" s="43">
        <f>IF(AND(B584="",D584=""),"",IF(D584="","⚠ Escolha o tema",IF(COUNTIF('1. Temas'!$C$8:$C$37,D584)=0,"⚠ Tema não cadastrado","✔ OK")))</f>
        <v/>
      </c>
    </row>
    <row r="585">
      <c r="B585" s="40" t="n"/>
      <c r="C585" s="41" t="n"/>
      <c r="D585" s="42" t="n"/>
      <c r="E585" s="42" t="n"/>
      <c r="F585" s="43">
        <f>IF(AND(B585="",D585=""),"",IF(D585="","⚠ Escolha o tema",IF(COUNTIF('1. Temas'!$C$8:$C$37,D585)=0,"⚠ Tema não cadastrado","✔ OK")))</f>
        <v/>
      </c>
    </row>
    <row r="586">
      <c r="B586" s="40" t="n"/>
      <c r="C586" s="41" t="n"/>
      <c r="D586" s="42" t="n"/>
      <c r="E586" s="42" t="n"/>
      <c r="F586" s="43">
        <f>IF(AND(B586="",D586=""),"",IF(D586="","⚠ Escolha o tema",IF(COUNTIF('1. Temas'!$C$8:$C$37,D586)=0,"⚠ Tema não cadastrado","✔ OK")))</f>
        <v/>
      </c>
    </row>
    <row r="587">
      <c r="B587" s="40" t="n"/>
      <c r="C587" s="41" t="n"/>
      <c r="D587" s="42" t="n"/>
      <c r="E587" s="42" t="n"/>
      <c r="F587" s="43">
        <f>IF(AND(B587="",D587=""),"",IF(D587="","⚠ Escolha o tema",IF(COUNTIF('1. Temas'!$C$8:$C$37,D587)=0,"⚠ Tema não cadastrado","✔ OK")))</f>
        <v/>
      </c>
    </row>
    <row r="588">
      <c r="B588" s="40" t="n"/>
      <c r="C588" s="41" t="n"/>
      <c r="D588" s="42" t="n"/>
      <c r="E588" s="42" t="n"/>
      <c r="F588" s="43">
        <f>IF(AND(B588="",D588=""),"",IF(D588="","⚠ Escolha o tema",IF(COUNTIF('1. Temas'!$C$8:$C$37,D588)=0,"⚠ Tema não cadastrado","✔ OK")))</f>
        <v/>
      </c>
    </row>
    <row r="589">
      <c r="B589" s="40" t="n"/>
      <c r="C589" s="41" t="n"/>
      <c r="D589" s="42" t="n"/>
      <c r="E589" s="42" t="n"/>
      <c r="F589" s="43">
        <f>IF(AND(B589="",D589=""),"",IF(D589="","⚠ Escolha o tema",IF(COUNTIF('1. Temas'!$C$8:$C$37,D589)=0,"⚠ Tema não cadastrado","✔ OK")))</f>
        <v/>
      </c>
    </row>
    <row r="590">
      <c r="B590" s="40" t="n"/>
      <c r="C590" s="41" t="n"/>
      <c r="D590" s="42" t="n"/>
      <c r="E590" s="42" t="n"/>
      <c r="F590" s="43">
        <f>IF(AND(B590="",D590=""),"",IF(D590="","⚠ Escolha o tema",IF(COUNTIF('1. Temas'!$C$8:$C$37,D590)=0,"⚠ Tema não cadastrado","✔ OK")))</f>
        <v/>
      </c>
    </row>
    <row r="591">
      <c r="B591" s="40" t="n"/>
      <c r="C591" s="41" t="n"/>
      <c r="D591" s="42" t="n"/>
      <c r="E591" s="42" t="n"/>
      <c r="F591" s="43">
        <f>IF(AND(B591="",D591=""),"",IF(D591="","⚠ Escolha o tema",IF(COUNTIF('1. Temas'!$C$8:$C$37,D591)=0,"⚠ Tema não cadastrado","✔ OK")))</f>
        <v/>
      </c>
    </row>
    <row r="592">
      <c r="B592" s="40" t="n"/>
      <c r="C592" s="41" t="n"/>
      <c r="D592" s="42" t="n"/>
      <c r="E592" s="42" t="n"/>
      <c r="F592" s="43">
        <f>IF(AND(B592="",D592=""),"",IF(D592="","⚠ Escolha o tema",IF(COUNTIF('1. Temas'!$C$8:$C$37,D592)=0,"⚠ Tema não cadastrado","✔ OK")))</f>
        <v/>
      </c>
    </row>
    <row r="593">
      <c r="B593" s="40" t="n"/>
      <c r="C593" s="41" t="n"/>
      <c r="D593" s="42" t="n"/>
      <c r="E593" s="42" t="n"/>
      <c r="F593" s="43">
        <f>IF(AND(B593="",D593=""),"",IF(D593="","⚠ Escolha o tema",IF(COUNTIF('1. Temas'!$C$8:$C$37,D593)=0,"⚠ Tema não cadastrado","✔ OK")))</f>
        <v/>
      </c>
    </row>
    <row r="594">
      <c r="B594" s="40" t="n"/>
      <c r="C594" s="41" t="n"/>
      <c r="D594" s="42" t="n"/>
      <c r="E594" s="42" t="n"/>
      <c r="F594" s="43">
        <f>IF(AND(B594="",D594=""),"",IF(D594="","⚠ Escolha o tema",IF(COUNTIF('1. Temas'!$C$8:$C$37,D594)=0,"⚠ Tema não cadastrado","✔ OK")))</f>
        <v/>
      </c>
    </row>
    <row r="595">
      <c r="B595" s="40" t="n"/>
      <c r="C595" s="41" t="n"/>
      <c r="D595" s="42" t="n"/>
      <c r="E595" s="42" t="n"/>
      <c r="F595" s="43">
        <f>IF(AND(B595="",D595=""),"",IF(D595="","⚠ Escolha o tema",IF(COUNTIF('1. Temas'!$C$8:$C$37,D595)=0,"⚠ Tema não cadastrado","✔ OK")))</f>
        <v/>
      </c>
    </row>
    <row r="596">
      <c r="B596" s="40" t="n"/>
      <c r="C596" s="41" t="n"/>
      <c r="D596" s="42" t="n"/>
      <c r="E596" s="42" t="n"/>
      <c r="F596" s="43">
        <f>IF(AND(B596="",D596=""),"",IF(D596="","⚠ Escolha o tema",IF(COUNTIF('1. Temas'!$C$8:$C$37,D596)=0,"⚠ Tema não cadastrado","✔ OK")))</f>
        <v/>
      </c>
    </row>
    <row r="597">
      <c r="B597" s="40" t="n"/>
      <c r="C597" s="41" t="n"/>
      <c r="D597" s="42" t="n"/>
      <c r="E597" s="42" t="n"/>
      <c r="F597" s="43">
        <f>IF(AND(B597="",D597=""),"",IF(D597="","⚠ Escolha o tema",IF(COUNTIF('1. Temas'!$C$8:$C$37,D597)=0,"⚠ Tema não cadastrado","✔ OK")))</f>
        <v/>
      </c>
    </row>
    <row r="598">
      <c r="B598" s="40" t="n"/>
      <c r="C598" s="41" t="n"/>
      <c r="D598" s="42" t="n"/>
      <c r="E598" s="42" t="n"/>
      <c r="F598" s="43">
        <f>IF(AND(B598="",D598=""),"",IF(D598="","⚠ Escolha o tema",IF(COUNTIF('1. Temas'!$C$8:$C$37,D598)=0,"⚠ Tema não cadastrado","✔ OK")))</f>
        <v/>
      </c>
    </row>
    <row r="599">
      <c r="B599" s="40" t="n"/>
      <c r="C599" s="41" t="n"/>
      <c r="D599" s="42" t="n"/>
      <c r="E599" s="42" t="n"/>
      <c r="F599" s="43">
        <f>IF(AND(B599="",D599=""),"",IF(D599="","⚠ Escolha o tema",IF(COUNTIF('1. Temas'!$C$8:$C$37,D599)=0,"⚠ Tema não cadastrado","✔ OK")))</f>
        <v/>
      </c>
    </row>
    <row r="600">
      <c r="B600" s="40" t="n"/>
      <c r="C600" s="41" t="n"/>
      <c r="D600" s="42" t="n"/>
      <c r="E600" s="42" t="n"/>
      <c r="F600" s="43">
        <f>IF(AND(B600="",D600=""),"",IF(D600="","⚠ Escolha o tema",IF(COUNTIF('1. Temas'!$C$8:$C$37,D600)=0,"⚠ Tema não cadastrado","✔ OK")))</f>
        <v/>
      </c>
    </row>
    <row r="601">
      <c r="B601" s="40" t="n"/>
      <c r="C601" s="41" t="n"/>
      <c r="D601" s="42" t="n"/>
      <c r="E601" s="42" t="n"/>
      <c r="F601" s="43">
        <f>IF(AND(B601="",D601=""),"",IF(D601="","⚠ Escolha o tema",IF(COUNTIF('1. Temas'!$C$8:$C$37,D601)=0,"⚠ Tema não cadastrado","✔ OK")))</f>
        <v/>
      </c>
    </row>
    <row r="602">
      <c r="B602" s="40" t="n"/>
      <c r="C602" s="41" t="n"/>
      <c r="D602" s="42" t="n"/>
      <c r="E602" s="42" t="n"/>
      <c r="F602" s="43">
        <f>IF(AND(B602="",D602=""),"",IF(D602="","⚠ Escolha o tema",IF(COUNTIF('1. Temas'!$C$8:$C$37,D602)=0,"⚠ Tema não cadastrado","✔ OK")))</f>
        <v/>
      </c>
    </row>
    <row r="603">
      <c r="B603" s="40" t="n"/>
      <c r="C603" s="41" t="n"/>
      <c r="D603" s="42" t="n"/>
      <c r="E603" s="42" t="n"/>
      <c r="F603" s="43">
        <f>IF(AND(B603="",D603=""),"",IF(D603="","⚠ Escolha o tema",IF(COUNTIF('1. Temas'!$C$8:$C$37,D603)=0,"⚠ Tema não cadastrado","✔ OK")))</f>
        <v/>
      </c>
    </row>
    <row r="604">
      <c r="B604" s="40" t="n"/>
      <c r="C604" s="41" t="n"/>
      <c r="D604" s="42" t="n"/>
      <c r="E604" s="42" t="n"/>
      <c r="F604" s="43">
        <f>IF(AND(B604="",D604=""),"",IF(D604="","⚠ Escolha o tema",IF(COUNTIF('1. Temas'!$C$8:$C$37,D604)=0,"⚠ Tema não cadastrado","✔ OK")))</f>
        <v/>
      </c>
    </row>
    <row r="605">
      <c r="B605" s="40" t="n"/>
      <c r="C605" s="41" t="n"/>
      <c r="D605" s="42" t="n"/>
      <c r="E605" s="42" t="n"/>
      <c r="F605" s="43">
        <f>IF(AND(B605="",D605=""),"",IF(D605="","⚠ Escolha o tema",IF(COUNTIF('1. Temas'!$C$8:$C$37,D605)=0,"⚠ Tema não cadastrado","✔ OK")))</f>
        <v/>
      </c>
    </row>
    <row r="606">
      <c r="B606" s="40" t="n"/>
      <c r="C606" s="41" t="n"/>
      <c r="D606" s="42" t="n"/>
      <c r="E606" s="42" t="n"/>
      <c r="F606" s="43">
        <f>IF(AND(B606="",D606=""),"",IF(D606="","⚠ Escolha o tema",IF(COUNTIF('1. Temas'!$C$8:$C$37,D606)=0,"⚠ Tema não cadastrado","✔ OK")))</f>
        <v/>
      </c>
    </row>
    <row r="607">
      <c r="B607" s="40" t="n"/>
      <c r="C607" s="41" t="n"/>
      <c r="D607" s="42" t="n"/>
      <c r="E607" s="42" t="n"/>
      <c r="F607" s="43">
        <f>IF(AND(B607="",D607=""),"",IF(D607="","⚠ Escolha o tema",IF(COUNTIF('1. Temas'!$C$8:$C$37,D607)=0,"⚠ Tema não cadastrado","✔ OK")))</f>
        <v/>
      </c>
    </row>
    <row r="608">
      <c r="B608" s="40" t="n"/>
      <c r="C608" s="41" t="n"/>
      <c r="D608" s="42" t="n"/>
      <c r="E608" s="42" t="n"/>
      <c r="F608" s="43">
        <f>IF(AND(B608="",D608=""),"",IF(D608="","⚠ Escolha o tema",IF(COUNTIF('1. Temas'!$C$8:$C$37,D608)=0,"⚠ Tema não cadastrado","✔ OK")))</f>
        <v/>
      </c>
    </row>
    <row r="609">
      <c r="B609" s="40" t="n"/>
      <c r="C609" s="41" t="n"/>
      <c r="D609" s="42" t="n"/>
      <c r="E609" s="42" t="n"/>
      <c r="F609" s="43">
        <f>IF(AND(B609="",D609=""),"",IF(D609="","⚠ Escolha o tema",IF(COUNTIF('1. Temas'!$C$8:$C$37,D609)=0,"⚠ Tema não cadastrado","✔ OK")))</f>
        <v/>
      </c>
    </row>
    <row r="610">
      <c r="B610" s="40" t="n"/>
      <c r="C610" s="41" t="n"/>
      <c r="D610" s="42" t="n"/>
      <c r="E610" s="42" t="n"/>
      <c r="F610" s="43">
        <f>IF(AND(B610="",D610=""),"",IF(D610="","⚠ Escolha o tema",IF(COUNTIF('1. Temas'!$C$8:$C$37,D610)=0,"⚠ Tema não cadastrado","✔ OK")))</f>
        <v/>
      </c>
    </row>
    <row r="611">
      <c r="B611" s="40" t="n"/>
      <c r="C611" s="41" t="n"/>
      <c r="D611" s="42" t="n"/>
      <c r="E611" s="42" t="n"/>
      <c r="F611" s="43">
        <f>IF(AND(B611="",D611=""),"",IF(D611="","⚠ Escolha o tema",IF(COUNTIF('1. Temas'!$C$8:$C$37,D611)=0,"⚠ Tema não cadastrado","✔ OK")))</f>
        <v/>
      </c>
    </row>
    <row r="612">
      <c r="B612" s="40" t="n"/>
      <c r="C612" s="41" t="n"/>
      <c r="D612" s="42" t="n"/>
      <c r="E612" s="42" t="n"/>
      <c r="F612" s="43">
        <f>IF(AND(B612="",D612=""),"",IF(D612="","⚠ Escolha o tema",IF(COUNTIF('1. Temas'!$C$8:$C$37,D612)=0,"⚠ Tema não cadastrado","✔ OK")))</f>
        <v/>
      </c>
    </row>
    <row r="613">
      <c r="B613" s="40" t="n"/>
      <c r="C613" s="41" t="n"/>
      <c r="D613" s="42" t="n"/>
      <c r="E613" s="42" t="n"/>
      <c r="F613" s="43">
        <f>IF(AND(B613="",D613=""),"",IF(D613="","⚠ Escolha o tema",IF(COUNTIF('1. Temas'!$C$8:$C$37,D613)=0,"⚠ Tema não cadastrado","✔ OK")))</f>
        <v/>
      </c>
    </row>
    <row r="614">
      <c r="B614" s="40" t="n"/>
      <c r="C614" s="41" t="n"/>
      <c r="D614" s="42" t="n"/>
      <c r="E614" s="42" t="n"/>
      <c r="F614" s="43">
        <f>IF(AND(B614="",D614=""),"",IF(D614="","⚠ Escolha o tema",IF(COUNTIF('1. Temas'!$C$8:$C$37,D614)=0,"⚠ Tema não cadastrado","✔ OK")))</f>
        <v/>
      </c>
    </row>
    <row r="615">
      <c r="B615" s="40" t="n"/>
      <c r="C615" s="41" t="n"/>
      <c r="D615" s="42" t="n"/>
      <c r="E615" s="42" t="n"/>
      <c r="F615" s="43">
        <f>IF(AND(B615="",D615=""),"",IF(D615="","⚠ Escolha o tema",IF(COUNTIF('1. Temas'!$C$8:$C$37,D615)=0,"⚠ Tema não cadastrado","✔ OK")))</f>
        <v/>
      </c>
    </row>
    <row r="616">
      <c r="B616" s="40" t="n"/>
      <c r="C616" s="41" t="n"/>
      <c r="D616" s="42" t="n"/>
      <c r="E616" s="42" t="n"/>
      <c r="F616" s="43">
        <f>IF(AND(B616="",D616=""),"",IF(D616="","⚠ Escolha o tema",IF(COUNTIF('1. Temas'!$C$8:$C$37,D616)=0,"⚠ Tema não cadastrado","✔ OK")))</f>
        <v/>
      </c>
    </row>
    <row r="617">
      <c r="B617" s="40" t="n"/>
      <c r="C617" s="41" t="n"/>
      <c r="D617" s="42" t="n"/>
      <c r="E617" s="42" t="n"/>
      <c r="F617" s="43">
        <f>IF(AND(B617="",D617=""),"",IF(D617="","⚠ Escolha o tema",IF(COUNTIF('1. Temas'!$C$8:$C$37,D617)=0,"⚠ Tema não cadastrado","✔ OK")))</f>
        <v/>
      </c>
    </row>
    <row r="618">
      <c r="B618" s="40" t="n"/>
      <c r="C618" s="41" t="n"/>
      <c r="D618" s="42" t="n"/>
      <c r="E618" s="42" t="n"/>
      <c r="F618" s="43">
        <f>IF(AND(B618="",D618=""),"",IF(D618="","⚠ Escolha o tema",IF(COUNTIF('1. Temas'!$C$8:$C$37,D618)=0,"⚠ Tema não cadastrado","✔ OK")))</f>
        <v/>
      </c>
    </row>
    <row r="619">
      <c r="B619" s="40" t="n"/>
      <c r="C619" s="41" t="n"/>
      <c r="D619" s="42" t="n"/>
      <c r="E619" s="42" t="n"/>
      <c r="F619" s="43">
        <f>IF(AND(B619="",D619=""),"",IF(D619="","⚠ Escolha o tema",IF(COUNTIF('1. Temas'!$C$8:$C$37,D619)=0,"⚠ Tema não cadastrado","✔ OK")))</f>
        <v/>
      </c>
    </row>
    <row r="620">
      <c r="B620" s="40" t="n"/>
      <c r="C620" s="41" t="n"/>
      <c r="D620" s="42" t="n"/>
      <c r="E620" s="42" t="n"/>
      <c r="F620" s="43">
        <f>IF(AND(B620="",D620=""),"",IF(D620="","⚠ Escolha o tema",IF(COUNTIF('1. Temas'!$C$8:$C$37,D620)=0,"⚠ Tema não cadastrado","✔ OK")))</f>
        <v/>
      </c>
    </row>
    <row r="621">
      <c r="B621" s="40" t="n"/>
      <c r="C621" s="41" t="n"/>
      <c r="D621" s="42" t="n"/>
      <c r="E621" s="42" t="n"/>
      <c r="F621" s="43">
        <f>IF(AND(B621="",D621=""),"",IF(D621="","⚠ Escolha o tema",IF(COUNTIF('1. Temas'!$C$8:$C$37,D621)=0,"⚠ Tema não cadastrado","✔ OK")))</f>
        <v/>
      </c>
    </row>
    <row r="622">
      <c r="B622" s="40" t="n"/>
      <c r="C622" s="41" t="n"/>
      <c r="D622" s="42" t="n"/>
      <c r="E622" s="42" t="n"/>
      <c r="F622" s="43">
        <f>IF(AND(B622="",D622=""),"",IF(D622="","⚠ Escolha o tema",IF(COUNTIF('1. Temas'!$C$8:$C$37,D622)=0,"⚠ Tema não cadastrado","✔ OK")))</f>
        <v/>
      </c>
    </row>
    <row r="623">
      <c r="B623" s="40" t="n"/>
      <c r="C623" s="41" t="n"/>
      <c r="D623" s="42" t="n"/>
      <c r="E623" s="42" t="n"/>
      <c r="F623" s="43">
        <f>IF(AND(B623="",D623=""),"",IF(D623="","⚠ Escolha o tema",IF(COUNTIF('1. Temas'!$C$8:$C$37,D623)=0,"⚠ Tema não cadastrado","✔ OK")))</f>
        <v/>
      </c>
    </row>
    <row r="624">
      <c r="B624" s="40" t="n"/>
      <c r="C624" s="41" t="n"/>
      <c r="D624" s="42" t="n"/>
      <c r="E624" s="42" t="n"/>
      <c r="F624" s="43">
        <f>IF(AND(B624="",D624=""),"",IF(D624="","⚠ Escolha o tema",IF(COUNTIF('1. Temas'!$C$8:$C$37,D624)=0,"⚠ Tema não cadastrado","✔ OK")))</f>
        <v/>
      </c>
    </row>
    <row r="625">
      <c r="B625" s="40" t="n"/>
      <c r="C625" s="41" t="n"/>
      <c r="D625" s="42" t="n"/>
      <c r="E625" s="42" t="n"/>
      <c r="F625" s="43">
        <f>IF(AND(B625="",D625=""),"",IF(D625="","⚠ Escolha o tema",IF(COUNTIF('1. Temas'!$C$8:$C$37,D625)=0,"⚠ Tema não cadastrado","✔ OK")))</f>
        <v/>
      </c>
    </row>
    <row r="626">
      <c r="B626" s="40" t="n"/>
      <c r="C626" s="41" t="n"/>
      <c r="D626" s="42" t="n"/>
      <c r="E626" s="42" t="n"/>
      <c r="F626" s="43">
        <f>IF(AND(B626="",D626=""),"",IF(D626="","⚠ Escolha o tema",IF(COUNTIF('1. Temas'!$C$8:$C$37,D626)=0,"⚠ Tema não cadastrado","✔ OK")))</f>
        <v/>
      </c>
    </row>
    <row r="627">
      <c r="B627" s="40" t="n"/>
      <c r="C627" s="41" t="n"/>
      <c r="D627" s="42" t="n"/>
      <c r="E627" s="42" t="n"/>
      <c r="F627" s="43">
        <f>IF(AND(B627="",D627=""),"",IF(D627="","⚠ Escolha o tema",IF(COUNTIF('1. Temas'!$C$8:$C$37,D627)=0,"⚠ Tema não cadastrado","✔ OK")))</f>
        <v/>
      </c>
    </row>
    <row r="628">
      <c r="B628" s="40" t="n"/>
      <c r="C628" s="41" t="n"/>
      <c r="D628" s="42" t="n"/>
      <c r="E628" s="42" t="n"/>
      <c r="F628" s="43">
        <f>IF(AND(B628="",D628=""),"",IF(D628="","⚠ Escolha o tema",IF(COUNTIF('1. Temas'!$C$8:$C$37,D628)=0,"⚠ Tema não cadastrado","✔ OK")))</f>
        <v/>
      </c>
    </row>
    <row r="629">
      <c r="B629" s="40" t="n"/>
      <c r="C629" s="41" t="n"/>
      <c r="D629" s="42" t="n"/>
      <c r="E629" s="42" t="n"/>
      <c r="F629" s="43">
        <f>IF(AND(B629="",D629=""),"",IF(D629="","⚠ Escolha o tema",IF(COUNTIF('1. Temas'!$C$8:$C$37,D629)=0,"⚠ Tema não cadastrado","✔ OK")))</f>
        <v/>
      </c>
    </row>
    <row r="630">
      <c r="B630" s="40" t="n"/>
      <c r="C630" s="41" t="n"/>
      <c r="D630" s="42" t="n"/>
      <c r="E630" s="42" t="n"/>
      <c r="F630" s="43">
        <f>IF(AND(B630="",D630=""),"",IF(D630="","⚠ Escolha o tema",IF(COUNTIF('1. Temas'!$C$8:$C$37,D630)=0,"⚠ Tema não cadastrado","✔ OK")))</f>
        <v/>
      </c>
    </row>
    <row r="631">
      <c r="B631" s="40" t="n"/>
      <c r="C631" s="41" t="n"/>
      <c r="D631" s="42" t="n"/>
      <c r="E631" s="42" t="n"/>
      <c r="F631" s="43">
        <f>IF(AND(B631="",D631=""),"",IF(D631="","⚠ Escolha o tema",IF(COUNTIF('1. Temas'!$C$8:$C$37,D631)=0,"⚠ Tema não cadastrado","✔ OK")))</f>
        <v/>
      </c>
    </row>
    <row r="632">
      <c r="B632" s="40" t="n"/>
      <c r="C632" s="41" t="n"/>
      <c r="D632" s="42" t="n"/>
      <c r="E632" s="42" t="n"/>
      <c r="F632" s="43">
        <f>IF(AND(B632="",D632=""),"",IF(D632="","⚠ Escolha o tema",IF(COUNTIF('1. Temas'!$C$8:$C$37,D632)=0,"⚠ Tema não cadastrado","✔ OK")))</f>
        <v/>
      </c>
    </row>
    <row r="633">
      <c r="B633" s="40" t="n"/>
      <c r="C633" s="41" t="n"/>
      <c r="D633" s="42" t="n"/>
      <c r="E633" s="42" t="n"/>
      <c r="F633" s="43">
        <f>IF(AND(B633="",D633=""),"",IF(D633="","⚠ Escolha o tema",IF(COUNTIF('1. Temas'!$C$8:$C$37,D633)=0,"⚠ Tema não cadastrado","✔ OK")))</f>
        <v/>
      </c>
    </row>
    <row r="634">
      <c r="B634" s="40" t="n"/>
      <c r="C634" s="41" t="n"/>
      <c r="D634" s="42" t="n"/>
      <c r="E634" s="42" t="n"/>
      <c r="F634" s="43">
        <f>IF(AND(B634="",D634=""),"",IF(D634="","⚠ Escolha o tema",IF(COUNTIF('1. Temas'!$C$8:$C$37,D634)=0,"⚠ Tema não cadastrado","✔ OK")))</f>
        <v/>
      </c>
    </row>
    <row r="635">
      <c r="B635" s="40" t="n"/>
      <c r="C635" s="41" t="n"/>
      <c r="D635" s="42" t="n"/>
      <c r="E635" s="42" t="n"/>
      <c r="F635" s="43">
        <f>IF(AND(B635="",D635=""),"",IF(D635="","⚠ Escolha o tema",IF(COUNTIF('1. Temas'!$C$8:$C$37,D635)=0,"⚠ Tema não cadastrado","✔ OK")))</f>
        <v/>
      </c>
    </row>
    <row r="636">
      <c r="B636" s="40" t="n"/>
      <c r="C636" s="41" t="n"/>
      <c r="D636" s="42" t="n"/>
      <c r="E636" s="42" t="n"/>
      <c r="F636" s="43">
        <f>IF(AND(B636="",D636=""),"",IF(D636="","⚠ Escolha o tema",IF(COUNTIF('1. Temas'!$C$8:$C$37,D636)=0,"⚠ Tema não cadastrado","✔ OK")))</f>
        <v/>
      </c>
    </row>
    <row r="637">
      <c r="B637" s="40" t="n"/>
      <c r="C637" s="41" t="n"/>
      <c r="D637" s="42" t="n"/>
      <c r="E637" s="42" t="n"/>
      <c r="F637" s="43">
        <f>IF(AND(B637="",D637=""),"",IF(D637="","⚠ Escolha o tema",IF(COUNTIF('1. Temas'!$C$8:$C$37,D637)=0,"⚠ Tema não cadastrado","✔ OK")))</f>
        <v/>
      </c>
    </row>
    <row r="638">
      <c r="B638" s="40" t="n"/>
      <c r="C638" s="41" t="n"/>
      <c r="D638" s="42" t="n"/>
      <c r="E638" s="42" t="n"/>
      <c r="F638" s="43">
        <f>IF(AND(B638="",D638=""),"",IF(D638="","⚠ Escolha o tema",IF(COUNTIF('1. Temas'!$C$8:$C$37,D638)=0,"⚠ Tema não cadastrado","✔ OK")))</f>
        <v/>
      </c>
    </row>
    <row r="639">
      <c r="B639" s="40" t="n"/>
      <c r="C639" s="41" t="n"/>
      <c r="D639" s="42" t="n"/>
      <c r="E639" s="42" t="n"/>
      <c r="F639" s="43">
        <f>IF(AND(B639="",D639=""),"",IF(D639="","⚠ Escolha o tema",IF(COUNTIF('1. Temas'!$C$8:$C$37,D639)=0,"⚠ Tema não cadastrado","✔ OK")))</f>
        <v/>
      </c>
    </row>
    <row r="640">
      <c r="B640" s="40" t="n"/>
      <c r="C640" s="41" t="n"/>
      <c r="D640" s="42" t="n"/>
      <c r="E640" s="42" t="n"/>
      <c r="F640" s="43">
        <f>IF(AND(B640="",D640=""),"",IF(D640="","⚠ Escolha o tema",IF(COUNTIF('1. Temas'!$C$8:$C$37,D640)=0,"⚠ Tema não cadastrado","✔ OK")))</f>
        <v/>
      </c>
    </row>
    <row r="641">
      <c r="B641" s="40" t="n"/>
      <c r="C641" s="41" t="n"/>
      <c r="D641" s="42" t="n"/>
      <c r="E641" s="42" t="n"/>
      <c r="F641" s="43">
        <f>IF(AND(B641="",D641=""),"",IF(D641="","⚠ Escolha o tema",IF(COUNTIF('1. Temas'!$C$8:$C$37,D641)=0,"⚠ Tema não cadastrado","✔ OK")))</f>
        <v/>
      </c>
    </row>
    <row r="642">
      <c r="B642" s="40" t="n"/>
      <c r="C642" s="41" t="n"/>
      <c r="D642" s="42" t="n"/>
      <c r="E642" s="42" t="n"/>
      <c r="F642" s="43">
        <f>IF(AND(B642="",D642=""),"",IF(D642="","⚠ Escolha o tema",IF(COUNTIF('1. Temas'!$C$8:$C$37,D642)=0,"⚠ Tema não cadastrado","✔ OK")))</f>
        <v/>
      </c>
    </row>
    <row r="643">
      <c r="B643" s="40" t="n"/>
      <c r="C643" s="41" t="n"/>
      <c r="D643" s="42" t="n"/>
      <c r="E643" s="42" t="n"/>
      <c r="F643" s="43">
        <f>IF(AND(B643="",D643=""),"",IF(D643="","⚠ Escolha o tema",IF(COUNTIF('1. Temas'!$C$8:$C$37,D643)=0,"⚠ Tema não cadastrado","✔ OK")))</f>
        <v/>
      </c>
    </row>
    <row r="644">
      <c r="B644" s="40" t="n"/>
      <c r="C644" s="41" t="n"/>
      <c r="D644" s="42" t="n"/>
      <c r="E644" s="42" t="n"/>
      <c r="F644" s="43">
        <f>IF(AND(B644="",D644=""),"",IF(D644="","⚠ Escolha o tema",IF(COUNTIF('1. Temas'!$C$8:$C$37,D644)=0,"⚠ Tema não cadastrado","✔ OK")))</f>
        <v/>
      </c>
    </row>
    <row r="645">
      <c r="B645" s="40" t="n"/>
      <c r="C645" s="41" t="n"/>
      <c r="D645" s="42" t="n"/>
      <c r="E645" s="42" t="n"/>
      <c r="F645" s="43">
        <f>IF(AND(B645="",D645=""),"",IF(D645="","⚠ Escolha o tema",IF(COUNTIF('1. Temas'!$C$8:$C$37,D645)=0,"⚠ Tema não cadastrado","✔ OK")))</f>
        <v/>
      </c>
    </row>
    <row r="646">
      <c r="B646" s="40" t="n"/>
      <c r="C646" s="41" t="n"/>
      <c r="D646" s="42" t="n"/>
      <c r="E646" s="42" t="n"/>
      <c r="F646" s="43">
        <f>IF(AND(B646="",D646=""),"",IF(D646="","⚠ Escolha o tema",IF(COUNTIF('1. Temas'!$C$8:$C$37,D646)=0,"⚠ Tema não cadastrado","✔ OK")))</f>
        <v/>
      </c>
    </row>
    <row r="647">
      <c r="B647" s="40" t="n"/>
      <c r="C647" s="41" t="n"/>
      <c r="D647" s="42" t="n"/>
      <c r="E647" s="42" t="n"/>
      <c r="F647" s="43">
        <f>IF(AND(B647="",D647=""),"",IF(D647="","⚠ Escolha o tema",IF(COUNTIF('1. Temas'!$C$8:$C$37,D647)=0,"⚠ Tema não cadastrado","✔ OK")))</f>
        <v/>
      </c>
    </row>
    <row r="648">
      <c r="B648" s="40" t="n"/>
      <c r="C648" s="41" t="n"/>
      <c r="D648" s="42" t="n"/>
      <c r="E648" s="42" t="n"/>
      <c r="F648" s="43">
        <f>IF(AND(B648="",D648=""),"",IF(D648="","⚠ Escolha o tema",IF(COUNTIF('1. Temas'!$C$8:$C$37,D648)=0,"⚠ Tema não cadastrado","✔ OK")))</f>
        <v/>
      </c>
    </row>
    <row r="649">
      <c r="B649" s="40" t="n"/>
      <c r="C649" s="41" t="n"/>
      <c r="D649" s="42" t="n"/>
      <c r="E649" s="42" t="n"/>
      <c r="F649" s="43">
        <f>IF(AND(B649="",D649=""),"",IF(D649="","⚠ Escolha o tema",IF(COUNTIF('1. Temas'!$C$8:$C$37,D649)=0,"⚠ Tema não cadastrado","✔ OK")))</f>
        <v/>
      </c>
    </row>
    <row r="650">
      <c r="B650" s="40" t="n"/>
      <c r="C650" s="41" t="n"/>
      <c r="D650" s="42" t="n"/>
      <c r="E650" s="42" t="n"/>
      <c r="F650" s="43">
        <f>IF(AND(B650="",D650=""),"",IF(D650="","⚠ Escolha o tema",IF(COUNTIF('1. Temas'!$C$8:$C$37,D650)=0,"⚠ Tema não cadastrado","✔ OK")))</f>
        <v/>
      </c>
    </row>
    <row r="651">
      <c r="B651" s="40" t="n"/>
      <c r="C651" s="41" t="n"/>
      <c r="D651" s="42" t="n"/>
      <c r="E651" s="42" t="n"/>
      <c r="F651" s="43">
        <f>IF(AND(B651="",D651=""),"",IF(D651="","⚠ Escolha o tema",IF(COUNTIF('1. Temas'!$C$8:$C$37,D651)=0,"⚠ Tema não cadastrado","✔ OK")))</f>
        <v/>
      </c>
    </row>
    <row r="652">
      <c r="B652" s="40" t="n"/>
      <c r="C652" s="41" t="n"/>
      <c r="D652" s="42" t="n"/>
      <c r="E652" s="42" t="n"/>
      <c r="F652" s="43">
        <f>IF(AND(B652="",D652=""),"",IF(D652="","⚠ Escolha o tema",IF(COUNTIF('1. Temas'!$C$8:$C$37,D652)=0,"⚠ Tema não cadastrado","✔ OK")))</f>
        <v/>
      </c>
    </row>
    <row r="653">
      <c r="B653" s="40" t="n"/>
      <c r="C653" s="41" t="n"/>
      <c r="D653" s="42" t="n"/>
      <c r="E653" s="42" t="n"/>
      <c r="F653" s="43">
        <f>IF(AND(B653="",D653=""),"",IF(D653="","⚠ Escolha o tema",IF(COUNTIF('1. Temas'!$C$8:$C$37,D653)=0,"⚠ Tema não cadastrado","✔ OK")))</f>
        <v/>
      </c>
    </row>
    <row r="654">
      <c r="B654" s="40" t="n"/>
      <c r="C654" s="41" t="n"/>
      <c r="D654" s="42" t="n"/>
      <c r="E654" s="42" t="n"/>
      <c r="F654" s="43">
        <f>IF(AND(B654="",D654=""),"",IF(D654="","⚠ Escolha o tema",IF(COUNTIF('1. Temas'!$C$8:$C$37,D654)=0,"⚠ Tema não cadastrado","✔ OK")))</f>
        <v/>
      </c>
    </row>
    <row r="655">
      <c r="B655" s="40" t="n"/>
      <c r="C655" s="41" t="n"/>
      <c r="D655" s="42" t="n"/>
      <c r="E655" s="42" t="n"/>
      <c r="F655" s="43">
        <f>IF(AND(B655="",D655=""),"",IF(D655="","⚠ Escolha o tema",IF(COUNTIF('1. Temas'!$C$8:$C$37,D655)=0,"⚠ Tema não cadastrado","✔ OK")))</f>
        <v/>
      </c>
    </row>
    <row r="656">
      <c r="B656" s="40" t="n"/>
      <c r="C656" s="41" t="n"/>
      <c r="D656" s="42" t="n"/>
      <c r="E656" s="42" t="n"/>
      <c r="F656" s="43">
        <f>IF(AND(B656="",D656=""),"",IF(D656="","⚠ Escolha o tema",IF(COUNTIF('1. Temas'!$C$8:$C$37,D656)=0,"⚠ Tema não cadastrado","✔ OK")))</f>
        <v/>
      </c>
    </row>
    <row r="657">
      <c r="B657" s="40" t="n"/>
      <c r="C657" s="41" t="n"/>
      <c r="D657" s="42" t="n"/>
      <c r="E657" s="42" t="n"/>
      <c r="F657" s="43">
        <f>IF(AND(B657="",D657=""),"",IF(D657="","⚠ Escolha o tema",IF(COUNTIF('1. Temas'!$C$8:$C$37,D657)=0,"⚠ Tema não cadastrado","✔ OK")))</f>
        <v/>
      </c>
    </row>
    <row r="658">
      <c r="B658" s="40" t="n"/>
      <c r="C658" s="41" t="n"/>
      <c r="D658" s="42" t="n"/>
      <c r="E658" s="42" t="n"/>
      <c r="F658" s="43">
        <f>IF(AND(B658="",D658=""),"",IF(D658="","⚠ Escolha o tema",IF(COUNTIF('1. Temas'!$C$8:$C$37,D658)=0,"⚠ Tema não cadastrado","✔ OK")))</f>
        <v/>
      </c>
    </row>
    <row r="659">
      <c r="B659" s="40" t="n"/>
      <c r="C659" s="41" t="n"/>
      <c r="D659" s="42" t="n"/>
      <c r="E659" s="42" t="n"/>
      <c r="F659" s="43">
        <f>IF(AND(B659="",D659=""),"",IF(D659="","⚠ Escolha o tema",IF(COUNTIF('1. Temas'!$C$8:$C$37,D659)=0,"⚠ Tema não cadastrado","✔ OK")))</f>
        <v/>
      </c>
    </row>
    <row r="660">
      <c r="B660" s="40" t="n"/>
      <c r="C660" s="41" t="n"/>
      <c r="D660" s="42" t="n"/>
      <c r="E660" s="42" t="n"/>
      <c r="F660" s="43">
        <f>IF(AND(B660="",D660=""),"",IF(D660="","⚠ Escolha o tema",IF(COUNTIF('1. Temas'!$C$8:$C$37,D660)=0,"⚠ Tema não cadastrado","✔ OK")))</f>
        <v/>
      </c>
    </row>
    <row r="661">
      <c r="B661" s="40" t="n"/>
      <c r="C661" s="41" t="n"/>
      <c r="D661" s="42" t="n"/>
      <c r="E661" s="42" t="n"/>
      <c r="F661" s="43">
        <f>IF(AND(B661="",D661=""),"",IF(D661="","⚠ Escolha o tema",IF(COUNTIF('1. Temas'!$C$8:$C$37,D661)=0,"⚠ Tema não cadastrado","✔ OK")))</f>
        <v/>
      </c>
    </row>
    <row r="662">
      <c r="B662" s="40" t="n"/>
      <c r="C662" s="41" t="n"/>
      <c r="D662" s="42" t="n"/>
      <c r="E662" s="42" t="n"/>
      <c r="F662" s="43">
        <f>IF(AND(B662="",D662=""),"",IF(D662="","⚠ Escolha o tema",IF(COUNTIF('1. Temas'!$C$8:$C$37,D662)=0,"⚠ Tema não cadastrado","✔ OK")))</f>
        <v/>
      </c>
    </row>
    <row r="663">
      <c r="B663" s="40" t="n"/>
      <c r="C663" s="41" t="n"/>
      <c r="D663" s="42" t="n"/>
      <c r="E663" s="42" t="n"/>
      <c r="F663" s="43">
        <f>IF(AND(B663="",D663=""),"",IF(D663="","⚠ Escolha o tema",IF(COUNTIF('1. Temas'!$C$8:$C$37,D663)=0,"⚠ Tema não cadastrado","✔ OK")))</f>
        <v/>
      </c>
    </row>
    <row r="664">
      <c r="B664" s="40" t="n"/>
      <c r="C664" s="41" t="n"/>
      <c r="D664" s="42" t="n"/>
      <c r="E664" s="42" t="n"/>
      <c r="F664" s="43">
        <f>IF(AND(B664="",D664=""),"",IF(D664="","⚠ Escolha o tema",IF(COUNTIF('1. Temas'!$C$8:$C$37,D664)=0,"⚠ Tema não cadastrado","✔ OK")))</f>
        <v/>
      </c>
    </row>
    <row r="665">
      <c r="B665" s="40" t="n"/>
      <c r="C665" s="41" t="n"/>
      <c r="D665" s="42" t="n"/>
      <c r="E665" s="42" t="n"/>
      <c r="F665" s="43">
        <f>IF(AND(B665="",D665=""),"",IF(D665="","⚠ Escolha o tema",IF(COUNTIF('1. Temas'!$C$8:$C$37,D665)=0,"⚠ Tema não cadastrado","✔ OK")))</f>
        <v/>
      </c>
    </row>
    <row r="666">
      <c r="B666" s="40" t="n"/>
      <c r="C666" s="41" t="n"/>
      <c r="D666" s="42" t="n"/>
      <c r="E666" s="42" t="n"/>
      <c r="F666" s="43">
        <f>IF(AND(B666="",D666=""),"",IF(D666="","⚠ Escolha o tema",IF(COUNTIF('1. Temas'!$C$8:$C$37,D666)=0,"⚠ Tema não cadastrado","✔ OK")))</f>
        <v/>
      </c>
    </row>
    <row r="667">
      <c r="B667" s="40" t="n"/>
      <c r="C667" s="41" t="n"/>
      <c r="D667" s="42" t="n"/>
      <c r="E667" s="42" t="n"/>
      <c r="F667" s="43">
        <f>IF(AND(B667="",D667=""),"",IF(D667="","⚠ Escolha o tema",IF(COUNTIF('1. Temas'!$C$8:$C$37,D667)=0,"⚠ Tema não cadastrado","✔ OK")))</f>
        <v/>
      </c>
    </row>
    <row r="668">
      <c r="B668" s="40" t="n"/>
      <c r="C668" s="41" t="n"/>
      <c r="D668" s="42" t="n"/>
      <c r="E668" s="42" t="n"/>
      <c r="F668" s="43">
        <f>IF(AND(B668="",D668=""),"",IF(D668="","⚠ Escolha o tema",IF(COUNTIF('1. Temas'!$C$8:$C$37,D668)=0,"⚠ Tema não cadastrado","✔ OK")))</f>
        <v/>
      </c>
    </row>
    <row r="669">
      <c r="B669" s="40" t="n"/>
      <c r="C669" s="41" t="n"/>
      <c r="D669" s="42" t="n"/>
      <c r="E669" s="42" t="n"/>
      <c r="F669" s="43">
        <f>IF(AND(B669="",D669=""),"",IF(D669="","⚠ Escolha o tema",IF(COUNTIF('1. Temas'!$C$8:$C$37,D669)=0,"⚠ Tema não cadastrado","✔ OK")))</f>
        <v/>
      </c>
    </row>
    <row r="670">
      <c r="B670" s="40" t="n"/>
      <c r="C670" s="41" t="n"/>
      <c r="D670" s="42" t="n"/>
      <c r="E670" s="42" t="n"/>
      <c r="F670" s="43">
        <f>IF(AND(B670="",D670=""),"",IF(D670="","⚠ Escolha o tema",IF(COUNTIF('1. Temas'!$C$8:$C$37,D670)=0,"⚠ Tema não cadastrado","✔ OK")))</f>
        <v/>
      </c>
    </row>
    <row r="671">
      <c r="B671" s="40" t="n"/>
      <c r="C671" s="41" t="n"/>
      <c r="D671" s="42" t="n"/>
      <c r="E671" s="42" t="n"/>
      <c r="F671" s="43">
        <f>IF(AND(B671="",D671=""),"",IF(D671="","⚠ Escolha o tema",IF(COUNTIF('1. Temas'!$C$8:$C$37,D671)=0,"⚠ Tema não cadastrado","✔ OK")))</f>
        <v/>
      </c>
    </row>
    <row r="672">
      <c r="B672" s="40" t="n"/>
      <c r="C672" s="41" t="n"/>
      <c r="D672" s="42" t="n"/>
      <c r="E672" s="42" t="n"/>
      <c r="F672" s="43">
        <f>IF(AND(B672="",D672=""),"",IF(D672="","⚠ Escolha o tema",IF(COUNTIF('1. Temas'!$C$8:$C$37,D672)=0,"⚠ Tema não cadastrado","✔ OK")))</f>
        <v/>
      </c>
    </row>
    <row r="673">
      <c r="B673" s="40" t="n"/>
      <c r="C673" s="41" t="n"/>
      <c r="D673" s="42" t="n"/>
      <c r="E673" s="42" t="n"/>
      <c r="F673" s="43">
        <f>IF(AND(B673="",D673=""),"",IF(D673="","⚠ Escolha o tema",IF(COUNTIF('1. Temas'!$C$8:$C$37,D673)=0,"⚠ Tema não cadastrado","✔ OK")))</f>
        <v/>
      </c>
    </row>
    <row r="674">
      <c r="B674" s="40" t="n"/>
      <c r="C674" s="41" t="n"/>
      <c r="D674" s="42" t="n"/>
      <c r="E674" s="42" t="n"/>
      <c r="F674" s="43">
        <f>IF(AND(B674="",D674=""),"",IF(D674="","⚠ Escolha o tema",IF(COUNTIF('1. Temas'!$C$8:$C$37,D674)=0,"⚠ Tema não cadastrado","✔ OK")))</f>
        <v/>
      </c>
    </row>
    <row r="675">
      <c r="B675" s="40" t="n"/>
      <c r="C675" s="41" t="n"/>
      <c r="D675" s="42" t="n"/>
      <c r="E675" s="42" t="n"/>
      <c r="F675" s="43">
        <f>IF(AND(B675="",D675=""),"",IF(D675="","⚠ Escolha o tema",IF(COUNTIF('1. Temas'!$C$8:$C$37,D675)=0,"⚠ Tema não cadastrado","✔ OK")))</f>
        <v/>
      </c>
    </row>
    <row r="676">
      <c r="B676" s="40" t="n"/>
      <c r="C676" s="41" t="n"/>
      <c r="D676" s="42" t="n"/>
      <c r="E676" s="42" t="n"/>
      <c r="F676" s="43">
        <f>IF(AND(B676="",D676=""),"",IF(D676="","⚠ Escolha o tema",IF(COUNTIF('1. Temas'!$C$8:$C$37,D676)=0,"⚠ Tema não cadastrado","✔ OK")))</f>
        <v/>
      </c>
    </row>
    <row r="677">
      <c r="B677" s="40" t="n"/>
      <c r="C677" s="41" t="n"/>
      <c r="D677" s="42" t="n"/>
      <c r="E677" s="42" t="n"/>
      <c r="F677" s="43">
        <f>IF(AND(B677="",D677=""),"",IF(D677="","⚠ Escolha o tema",IF(COUNTIF('1. Temas'!$C$8:$C$37,D677)=0,"⚠ Tema não cadastrado","✔ OK")))</f>
        <v/>
      </c>
    </row>
    <row r="678">
      <c r="B678" s="40" t="n"/>
      <c r="C678" s="41" t="n"/>
      <c r="D678" s="42" t="n"/>
      <c r="E678" s="42" t="n"/>
      <c r="F678" s="43">
        <f>IF(AND(B678="",D678=""),"",IF(D678="","⚠ Escolha o tema",IF(COUNTIF('1. Temas'!$C$8:$C$37,D678)=0,"⚠ Tema não cadastrado","✔ OK")))</f>
        <v/>
      </c>
    </row>
    <row r="679">
      <c r="B679" s="40" t="n"/>
      <c r="C679" s="41" t="n"/>
      <c r="D679" s="42" t="n"/>
      <c r="E679" s="42" t="n"/>
      <c r="F679" s="43">
        <f>IF(AND(B679="",D679=""),"",IF(D679="","⚠ Escolha o tema",IF(COUNTIF('1. Temas'!$C$8:$C$37,D679)=0,"⚠ Tema não cadastrado","✔ OK")))</f>
        <v/>
      </c>
    </row>
    <row r="680">
      <c r="B680" s="40" t="n"/>
      <c r="C680" s="41" t="n"/>
      <c r="D680" s="42" t="n"/>
      <c r="E680" s="42" t="n"/>
      <c r="F680" s="43">
        <f>IF(AND(B680="",D680=""),"",IF(D680="","⚠ Escolha o tema",IF(COUNTIF('1. Temas'!$C$8:$C$37,D680)=0,"⚠ Tema não cadastrado","✔ OK")))</f>
        <v/>
      </c>
    </row>
    <row r="681">
      <c r="B681" s="40" t="n"/>
      <c r="C681" s="41" t="n"/>
      <c r="D681" s="42" t="n"/>
      <c r="E681" s="42" t="n"/>
      <c r="F681" s="43">
        <f>IF(AND(B681="",D681=""),"",IF(D681="","⚠ Escolha o tema",IF(COUNTIF('1. Temas'!$C$8:$C$37,D681)=0,"⚠ Tema não cadastrado","✔ OK")))</f>
        <v/>
      </c>
    </row>
    <row r="682">
      <c r="B682" s="40" t="n"/>
      <c r="C682" s="41" t="n"/>
      <c r="D682" s="42" t="n"/>
      <c r="E682" s="42" t="n"/>
      <c r="F682" s="43">
        <f>IF(AND(B682="",D682=""),"",IF(D682="","⚠ Escolha o tema",IF(COUNTIF('1. Temas'!$C$8:$C$37,D682)=0,"⚠ Tema não cadastrado","✔ OK")))</f>
        <v/>
      </c>
    </row>
    <row r="683">
      <c r="B683" s="40" t="n"/>
      <c r="C683" s="41" t="n"/>
      <c r="D683" s="42" t="n"/>
      <c r="E683" s="42" t="n"/>
      <c r="F683" s="43">
        <f>IF(AND(B683="",D683=""),"",IF(D683="","⚠ Escolha o tema",IF(COUNTIF('1. Temas'!$C$8:$C$37,D683)=0,"⚠ Tema não cadastrado","✔ OK")))</f>
        <v/>
      </c>
    </row>
    <row r="684">
      <c r="B684" s="40" t="n"/>
      <c r="C684" s="41" t="n"/>
      <c r="D684" s="42" t="n"/>
      <c r="E684" s="42" t="n"/>
      <c r="F684" s="43">
        <f>IF(AND(B684="",D684=""),"",IF(D684="","⚠ Escolha o tema",IF(COUNTIF('1. Temas'!$C$8:$C$37,D684)=0,"⚠ Tema não cadastrado","✔ OK")))</f>
        <v/>
      </c>
    </row>
    <row r="685">
      <c r="B685" s="40" t="n"/>
      <c r="C685" s="41" t="n"/>
      <c r="D685" s="42" t="n"/>
      <c r="E685" s="42" t="n"/>
      <c r="F685" s="43">
        <f>IF(AND(B685="",D685=""),"",IF(D685="","⚠ Escolha o tema",IF(COUNTIF('1. Temas'!$C$8:$C$37,D685)=0,"⚠ Tema não cadastrado","✔ OK")))</f>
        <v/>
      </c>
    </row>
    <row r="686">
      <c r="B686" s="40" t="n"/>
      <c r="C686" s="41" t="n"/>
      <c r="D686" s="42" t="n"/>
      <c r="E686" s="42" t="n"/>
      <c r="F686" s="43">
        <f>IF(AND(B686="",D686=""),"",IF(D686="","⚠ Escolha o tema",IF(COUNTIF('1. Temas'!$C$8:$C$37,D686)=0,"⚠ Tema não cadastrado","✔ OK")))</f>
        <v/>
      </c>
    </row>
    <row r="687">
      <c r="B687" s="40" t="n"/>
      <c r="C687" s="41" t="n"/>
      <c r="D687" s="42" t="n"/>
      <c r="E687" s="42" t="n"/>
      <c r="F687" s="43">
        <f>IF(AND(B687="",D687=""),"",IF(D687="","⚠ Escolha o tema",IF(COUNTIF('1. Temas'!$C$8:$C$37,D687)=0,"⚠ Tema não cadastrado","✔ OK")))</f>
        <v/>
      </c>
    </row>
    <row r="688">
      <c r="B688" s="40" t="n"/>
      <c r="C688" s="41" t="n"/>
      <c r="D688" s="42" t="n"/>
      <c r="E688" s="42" t="n"/>
      <c r="F688" s="43">
        <f>IF(AND(B688="",D688=""),"",IF(D688="","⚠ Escolha o tema",IF(COUNTIF('1. Temas'!$C$8:$C$37,D688)=0,"⚠ Tema não cadastrado","✔ OK")))</f>
        <v/>
      </c>
    </row>
    <row r="689">
      <c r="B689" s="40" t="n"/>
      <c r="C689" s="41" t="n"/>
      <c r="D689" s="42" t="n"/>
      <c r="E689" s="42" t="n"/>
      <c r="F689" s="43">
        <f>IF(AND(B689="",D689=""),"",IF(D689="","⚠ Escolha o tema",IF(COUNTIF('1. Temas'!$C$8:$C$37,D689)=0,"⚠ Tema não cadastrado","✔ OK")))</f>
        <v/>
      </c>
    </row>
    <row r="690">
      <c r="B690" s="40" t="n"/>
      <c r="C690" s="41" t="n"/>
      <c r="D690" s="42" t="n"/>
      <c r="E690" s="42" t="n"/>
      <c r="F690" s="43">
        <f>IF(AND(B690="",D690=""),"",IF(D690="","⚠ Escolha o tema",IF(COUNTIF('1. Temas'!$C$8:$C$37,D690)=0,"⚠ Tema não cadastrado","✔ OK")))</f>
        <v/>
      </c>
    </row>
    <row r="691">
      <c r="B691" s="40" t="n"/>
      <c r="C691" s="41" t="n"/>
      <c r="D691" s="42" t="n"/>
      <c r="E691" s="42" t="n"/>
      <c r="F691" s="43">
        <f>IF(AND(B691="",D691=""),"",IF(D691="","⚠ Escolha o tema",IF(COUNTIF('1. Temas'!$C$8:$C$37,D691)=0,"⚠ Tema não cadastrado","✔ OK")))</f>
        <v/>
      </c>
    </row>
    <row r="692">
      <c r="B692" s="40" t="n"/>
      <c r="C692" s="41" t="n"/>
      <c r="D692" s="42" t="n"/>
      <c r="E692" s="42" t="n"/>
      <c r="F692" s="43">
        <f>IF(AND(B692="",D692=""),"",IF(D692="","⚠ Escolha o tema",IF(COUNTIF('1. Temas'!$C$8:$C$37,D692)=0,"⚠ Tema não cadastrado","✔ OK")))</f>
        <v/>
      </c>
    </row>
    <row r="693">
      <c r="B693" s="40" t="n"/>
      <c r="C693" s="41" t="n"/>
      <c r="D693" s="42" t="n"/>
      <c r="E693" s="42" t="n"/>
      <c r="F693" s="43">
        <f>IF(AND(B693="",D693=""),"",IF(D693="","⚠ Escolha o tema",IF(COUNTIF('1. Temas'!$C$8:$C$37,D693)=0,"⚠ Tema não cadastrado","✔ OK")))</f>
        <v/>
      </c>
    </row>
    <row r="694">
      <c r="B694" s="40" t="n"/>
      <c r="C694" s="41" t="n"/>
      <c r="D694" s="42" t="n"/>
      <c r="E694" s="42" t="n"/>
      <c r="F694" s="43">
        <f>IF(AND(B694="",D694=""),"",IF(D694="","⚠ Escolha o tema",IF(COUNTIF('1. Temas'!$C$8:$C$37,D694)=0,"⚠ Tema não cadastrado","✔ OK")))</f>
        <v/>
      </c>
    </row>
    <row r="695">
      <c r="B695" s="40" t="n"/>
      <c r="C695" s="41" t="n"/>
      <c r="D695" s="42" t="n"/>
      <c r="E695" s="42" t="n"/>
      <c r="F695" s="43">
        <f>IF(AND(B695="",D695=""),"",IF(D695="","⚠ Escolha o tema",IF(COUNTIF('1. Temas'!$C$8:$C$37,D695)=0,"⚠ Tema não cadastrado","✔ OK")))</f>
        <v/>
      </c>
    </row>
    <row r="696">
      <c r="B696" s="40" t="n"/>
      <c r="C696" s="41" t="n"/>
      <c r="D696" s="42" t="n"/>
      <c r="E696" s="42" t="n"/>
      <c r="F696" s="43">
        <f>IF(AND(B696="",D696=""),"",IF(D696="","⚠ Escolha o tema",IF(COUNTIF('1. Temas'!$C$8:$C$37,D696)=0,"⚠ Tema não cadastrado","✔ OK")))</f>
        <v/>
      </c>
    </row>
    <row r="697">
      <c r="B697" s="40" t="n"/>
      <c r="C697" s="41" t="n"/>
      <c r="D697" s="42" t="n"/>
      <c r="E697" s="42" t="n"/>
      <c r="F697" s="43">
        <f>IF(AND(B697="",D697=""),"",IF(D697="","⚠ Escolha o tema",IF(COUNTIF('1. Temas'!$C$8:$C$37,D697)=0,"⚠ Tema não cadastrado","✔ OK")))</f>
        <v/>
      </c>
    </row>
    <row r="698">
      <c r="B698" s="40" t="n"/>
      <c r="C698" s="41" t="n"/>
      <c r="D698" s="42" t="n"/>
      <c r="E698" s="42" t="n"/>
      <c r="F698" s="43">
        <f>IF(AND(B698="",D698=""),"",IF(D698="","⚠ Escolha o tema",IF(COUNTIF('1. Temas'!$C$8:$C$37,D698)=0,"⚠ Tema não cadastrado","✔ OK")))</f>
        <v/>
      </c>
    </row>
    <row r="699">
      <c r="B699" s="40" t="n"/>
      <c r="C699" s="41" t="n"/>
      <c r="D699" s="42" t="n"/>
      <c r="E699" s="42" t="n"/>
      <c r="F699" s="43">
        <f>IF(AND(B699="",D699=""),"",IF(D699="","⚠ Escolha o tema",IF(COUNTIF('1. Temas'!$C$8:$C$37,D699)=0,"⚠ Tema não cadastrado","✔ OK")))</f>
        <v/>
      </c>
    </row>
    <row r="700">
      <c r="B700" s="40" t="n"/>
      <c r="C700" s="41" t="n"/>
      <c r="D700" s="42" t="n"/>
      <c r="E700" s="42" t="n"/>
      <c r="F700" s="43">
        <f>IF(AND(B700="",D700=""),"",IF(D700="","⚠ Escolha o tema",IF(COUNTIF('1. Temas'!$C$8:$C$37,D700)=0,"⚠ Tema não cadastrado","✔ OK")))</f>
        <v/>
      </c>
    </row>
    <row r="701">
      <c r="B701" s="40" t="n"/>
      <c r="C701" s="41" t="n"/>
      <c r="D701" s="42" t="n"/>
      <c r="E701" s="42" t="n"/>
      <c r="F701" s="43">
        <f>IF(AND(B701="",D701=""),"",IF(D701="","⚠ Escolha o tema",IF(COUNTIF('1. Temas'!$C$8:$C$37,D701)=0,"⚠ Tema não cadastrado","✔ OK")))</f>
        <v/>
      </c>
    </row>
    <row r="702">
      <c r="B702" s="40" t="n"/>
      <c r="C702" s="41" t="n"/>
      <c r="D702" s="42" t="n"/>
      <c r="E702" s="42" t="n"/>
      <c r="F702" s="43">
        <f>IF(AND(B702="",D702=""),"",IF(D702="","⚠ Escolha o tema",IF(COUNTIF('1. Temas'!$C$8:$C$37,D702)=0,"⚠ Tema não cadastrado","✔ OK")))</f>
        <v/>
      </c>
    </row>
    <row r="703">
      <c r="B703" s="40" t="n"/>
      <c r="C703" s="41" t="n"/>
      <c r="D703" s="42" t="n"/>
      <c r="E703" s="42" t="n"/>
      <c r="F703" s="43">
        <f>IF(AND(B703="",D703=""),"",IF(D703="","⚠ Escolha o tema",IF(COUNTIF('1. Temas'!$C$8:$C$37,D703)=0,"⚠ Tema não cadastrado","✔ OK")))</f>
        <v/>
      </c>
    </row>
    <row r="704">
      <c r="B704" s="40" t="n"/>
      <c r="C704" s="41" t="n"/>
      <c r="D704" s="42" t="n"/>
      <c r="E704" s="42" t="n"/>
      <c r="F704" s="43">
        <f>IF(AND(B704="",D704=""),"",IF(D704="","⚠ Escolha o tema",IF(COUNTIF('1. Temas'!$C$8:$C$37,D704)=0,"⚠ Tema não cadastrado","✔ OK")))</f>
        <v/>
      </c>
    </row>
    <row r="705">
      <c r="B705" s="40" t="n"/>
      <c r="C705" s="41" t="n"/>
      <c r="D705" s="42" t="n"/>
      <c r="E705" s="42" t="n"/>
      <c r="F705" s="43">
        <f>IF(AND(B705="",D705=""),"",IF(D705="","⚠ Escolha o tema",IF(COUNTIF('1. Temas'!$C$8:$C$37,D705)=0,"⚠ Tema não cadastrado","✔ OK")))</f>
        <v/>
      </c>
    </row>
    <row r="706">
      <c r="B706" s="40" t="n"/>
      <c r="C706" s="41" t="n"/>
      <c r="D706" s="42" t="n"/>
      <c r="E706" s="42" t="n"/>
      <c r="F706" s="43">
        <f>IF(AND(B706="",D706=""),"",IF(D706="","⚠ Escolha o tema",IF(COUNTIF('1. Temas'!$C$8:$C$37,D706)=0,"⚠ Tema não cadastrado","✔ OK")))</f>
        <v/>
      </c>
    </row>
    <row r="707">
      <c r="B707" s="40" t="n"/>
      <c r="C707" s="41" t="n"/>
      <c r="D707" s="42" t="n"/>
      <c r="E707" s="42" t="n"/>
      <c r="F707" s="43">
        <f>IF(AND(B707="",D707=""),"",IF(D707="","⚠ Escolha o tema",IF(COUNTIF('1. Temas'!$C$8:$C$37,D707)=0,"⚠ Tema não cadastrado","✔ OK")))</f>
        <v/>
      </c>
    </row>
    <row r="708">
      <c r="B708" s="40" t="n"/>
      <c r="C708" s="41" t="n"/>
      <c r="D708" s="42" t="n"/>
      <c r="E708" s="42" t="n"/>
      <c r="F708" s="43">
        <f>IF(AND(B708="",D708=""),"",IF(D708="","⚠ Escolha o tema",IF(COUNTIF('1. Temas'!$C$8:$C$37,D708)=0,"⚠ Tema não cadastrado","✔ OK")))</f>
        <v/>
      </c>
    </row>
    <row r="709">
      <c r="B709" s="40" t="n"/>
      <c r="C709" s="41" t="n"/>
      <c r="D709" s="42" t="n"/>
      <c r="E709" s="42" t="n"/>
      <c r="F709" s="43">
        <f>IF(AND(B709="",D709=""),"",IF(D709="","⚠ Escolha o tema",IF(COUNTIF('1. Temas'!$C$8:$C$37,D709)=0,"⚠ Tema não cadastrado","✔ OK")))</f>
        <v/>
      </c>
    </row>
    <row r="710">
      <c r="B710" s="40" t="n"/>
      <c r="C710" s="41" t="n"/>
      <c r="D710" s="42" t="n"/>
      <c r="E710" s="42" t="n"/>
      <c r="F710" s="43">
        <f>IF(AND(B710="",D710=""),"",IF(D710="","⚠ Escolha o tema",IF(COUNTIF('1. Temas'!$C$8:$C$37,D710)=0,"⚠ Tema não cadastrado","✔ OK")))</f>
        <v/>
      </c>
    </row>
    <row r="711">
      <c r="B711" s="40" t="n"/>
      <c r="C711" s="41" t="n"/>
      <c r="D711" s="42" t="n"/>
      <c r="E711" s="42" t="n"/>
      <c r="F711" s="43">
        <f>IF(AND(B711="",D711=""),"",IF(D711="","⚠ Escolha o tema",IF(COUNTIF('1. Temas'!$C$8:$C$37,D711)=0,"⚠ Tema não cadastrado","✔ OK")))</f>
        <v/>
      </c>
    </row>
    <row r="712">
      <c r="B712" s="40" t="n"/>
      <c r="C712" s="41" t="n"/>
      <c r="D712" s="42" t="n"/>
      <c r="E712" s="42" t="n"/>
      <c r="F712" s="43">
        <f>IF(AND(B712="",D712=""),"",IF(D712="","⚠ Escolha o tema",IF(COUNTIF('1. Temas'!$C$8:$C$37,D712)=0,"⚠ Tema não cadastrado","✔ OK")))</f>
        <v/>
      </c>
    </row>
    <row r="713">
      <c r="B713" s="40" t="n"/>
      <c r="C713" s="41" t="n"/>
      <c r="D713" s="42" t="n"/>
      <c r="E713" s="42" t="n"/>
      <c r="F713" s="43">
        <f>IF(AND(B713="",D713=""),"",IF(D713="","⚠ Escolha o tema",IF(COUNTIF('1. Temas'!$C$8:$C$37,D713)=0,"⚠ Tema não cadastrado","✔ OK")))</f>
        <v/>
      </c>
    </row>
    <row r="714">
      <c r="B714" s="40" t="n"/>
      <c r="C714" s="41" t="n"/>
      <c r="D714" s="42" t="n"/>
      <c r="E714" s="42" t="n"/>
      <c r="F714" s="43">
        <f>IF(AND(B714="",D714=""),"",IF(D714="","⚠ Escolha o tema",IF(COUNTIF('1. Temas'!$C$8:$C$37,D714)=0,"⚠ Tema não cadastrado","✔ OK")))</f>
        <v/>
      </c>
    </row>
    <row r="715">
      <c r="B715" s="40" t="n"/>
      <c r="C715" s="41" t="n"/>
      <c r="D715" s="42" t="n"/>
      <c r="E715" s="42" t="n"/>
      <c r="F715" s="43">
        <f>IF(AND(B715="",D715=""),"",IF(D715="","⚠ Escolha o tema",IF(COUNTIF('1. Temas'!$C$8:$C$37,D715)=0,"⚠ Tema não cadastrado","✔ OK")))</f>
        <v/>
      </c>
    </row>
    <row r="716">
      <c r="B716" s="40" t="n"/>
      <c r="C716" s="41" t="n"/>
      <c r="D716" s="42" t="n"/>
      <c r="E716" s="42" t="n"/>
      <c r="F716" s="43">
        <f>IF(AND(B716="",D716=""),"",IF(D716="","⚠ Escolha o tema",IF(COUNTIF('1. Temas'!$C$8:$C$37,D716)=0,"⚠ Tema não cadastrado","✔ OK")))</f>
        <v/>
      </c>
    </row>
    <row r="717">
      <c r="B717" s="40" t="n"/>
      <c r="C717" s="41" t="n"/>
      <c r="D717" s="42" t="n"/>
      <c r="E717" s="42" t="n"/>
      <c r="F717" s="43">
        <f>IF(AND(B717="",D717=""),"",IF(D717="","⚠ Escolha o tema",IF(COUNTIF('1. Temas'!$C$8:$C$37,D717)=0,"⚠ Tema não cadastrado","✔ OK")))</f>
        <v/>
      </c>
    </row>
    <row r="718">
      <c r="B718" s="40" t="n"/>
      <c r="C718" s="41" t="n"/>
      <c r="D718" s="42" t="n"/>
      <c r="E718" s="42" t="n"/>
      <c r="F718" s="43">
        <f>IF(AND(B718="",D718=""),"",IF(D718="","⚠ Escolha o tema",IF(COUNTIF('1. Temas'!$C$8:$C$37,D718)=0,"⚠ Tema não cadastrado","✔ OK")))</f>
        <v/>
      </c>
    </row>
    <row r="719">
      <c r="B719" s="40" t="n"/>
      <c r="C719" s="41" t="n"/>
      <c r="D719" s="42" t="n"/>
      <c r="E719" s="42" t="n"/>
      <c r="F719" s="43">
        <f>IF(AND(B719="",D719=""),"",IF(D719="","⚠ Escolha o tema",IF(COUNTIF('1. Temas'!$C$8:$C$37,D719)=0,"⚠ Tema não cadastrado","✔ OK")))</f>
        <v/>
      </c>
    </row>
    <row r="720">
      <c r="B720" s="40" t="n"/>
      <c r="C720" s="41" t="n"/>
      <c r="D720" s="42" t="n"/>
      <c r="E720" s="42" t="n"/>
      <c r="F720" s="43">
        <f>IF(AND(B720="",D720=""),"",IF(D720="","⚠ Escolha o tema",IF(COUNTIF('1. Temas'!$C$8:$C$37,D720)=0,"⚠ Tema não cadastrado","✔ OK")))</f>
        <v/>
      </c>
    </row>
    <row r="721">
      <c r="B721" s="40" t="n"/>
      <c r="C721" s="41" t="n"/>
      <c r="D721" s="42" t="n"/>
      <c r="E721" s="42" t="n"/>
      <c r="F721" s="43">
        <f>IF(AND(B721="",D721=""),"",IF(D721="","⚠ Escolha o tema",IF(COUNTIF('1. Temas'!$C$8:$C$37,D721)=0,"⚠ Tema não cadastrado","✔ OK")))</f>
        <v/>
      </c>
    </row>
    <row r="722">
      <c r="B722" s="40" t="n"/>
      <c r="C722" s="41" t="n"/>
      <c r="D722" s="42" t="n"/>
      <c r="E722" s="42" t="n"/>
      <c r="F722" s="43">
        <f>IF(AND(B722="",D722=""),"",IF(D722="","⚠ Escolha o tema",IF(COUNTIF('1. Temas'!$C$8:$C$37,D722)=0,"⚠ Tema não cadastrado","✔ OK")))</f>
        <v/>
      </c>
    </row>
    <row r="723">
      <c r="B723" s="40" t="n"/>
      <c r="C723" s="41" t="n"/>
      <c r="D723" s="42" t="n"/>
      <c r="E723" s="42" t="n"/>
      <c r="F723" s="43">
        <f>IF(AND(B723="",D723=""),"",IF(D723="","⚠ Escolha o tema",IF(COUNTIF('1. Temas'!$C$8:$C$37,D723)=0,"⚠ Tema não cadastrado","✔ OK")))</f>
        <v/>
      </c>
    </row>
    <row r="724">
      <c r="B724" s="40" t="n"/>
      <c r="C724" s="41" t="n"/>
      <c r="D724" s="42" t="n"/>
      <c r="E724" s="42" t="n"/>
      <c r="F724" s="43">
        <f>IF(AND(B724="",D724=""),"",IF(D724="","⚠ Escolha o tema",IF(COUNTIF('1. Temas'!$C$8:$C$37,D724)=0,"⚠ Tema não cadastrado","✔ OK")))</f>
        <v/>
      </c>
    </row>
    <row r="725">
      <c r="B725" s="40" t="n"/>
      <c r="C725" s="41" t="n"/>
      <c r="D725" s="42" t="n"/>
      <c r="E725" s="42" t="n"/>
      <c r="F725" s="43">
        <f>IF(AND(B725="",D725=""),"",IF(D725="","⚠ Escolha o tema",IF(COUNTIF('1. Temas'!$C$8:$C$37,D725)=0,"⚠ Tema não cadastrado","✔ OK")))</f>
        <v/>
      </c>
    </row>
    <row r="726">
      <c r="B726" s="40" t="n"/>
      <c r="C726" s="41" t="n"/>
      <c r="D726" s="42" t="n"/>
      <c r="E726" s="42" t="n"/>
      <c r="F726" s="43">
        <f>IF(AND(B726="",D726=""),"",IF(D726="","⚠ Escolha o tema",IF(COUNTIF('1. Temas'!$C$8:$C$37,D726)=0,"⚠ Tema não cadastrado","✔ OK")))</f>
        <v/>
      </c>
    </row>
    <row r="727">
      <c r="B727" s="40" t="n"/>
      <c r="C727" s="41" t="n"/>
      <c r="D727" s="42" t="n"/>
      <c r="E727" s="42" t="n"/>
      <c r="F727" s="43">
        <f>IF(AND(B727="",D727=""),"",IF(D727="","⚠ Escolha o tema",IF(COUNTIF('1. Temas'!$C$8:$C$37,D727)=0,"⚠ Tema não cadastrado","✔ OK")))</f>
        <v/>
      </c>
    </row>
    <row r="728">
      <c r="B728" s="40" t="n"/>
      <c r="C728" s="41" t="n"/>
      <c r="D728" s="42" t="n"/>
      <c r="E728" s="42" t="n"/>
      <c r="F728" s="43">
        <f>IF(AND(B728="",D728=""),"",IF(D728="","⚠ Escolha o tema",IF(COUNTIF('1. Temas'!$C$8:$C$37,D728)=0,"⚠ Tema não cadastrado","✔ OK")))</f>
        <v/>
      </c>
    </row>
    <row r="729">
      <c r="B729" s="40" t="n"/>
      <c r="C729" s="41" t="n"/>
      <c r="D729" s="42" t="n"/>
      <c r="E729" s="42" t="n"/>
      <c r="F729" s="43">
        <f>IF(AND(B729="",D729=""),"",IF(D729="","⚠ Escolha o tema",IF(COUNTIF('1. Temas'!$C$8:$C$37,D729)=0,"⚠ Tema não cadastrado","✔ OK")))</f>
        <v/>
      </c>
    </row>
    <row r="730">
      <c r="B730" s="40" t="n"/>
      <c r="C730" s="41" t="n"/>
      <c r="D730" s="42" t="n"/>
      <c r="E730" s="42" t="n"/>
      <c r="F730" s="43">
        <f>IF(AND(B730="",D730=""),"",IF(D730="","⚠ Escolha o tema",IF(COUNTIF('1. Temas'!$C$8:$C$37,D730)=0,"⚠ Tema não cadastrado","✔ OK")))</f>
        <v/>
      </c>
    </row>
    <row r="731">
      <c r="B731" s="40" t="n"/>
      <c r="C731" s="41" t="n"/>
      <c r="D731" s="42" t="n"/>
      <c r="E731" s="42" t="n"/>
      <c r="F731" s="43">
        <f>IF(AND(B731="",D731=""),"",IF(D731="","⚠ Escolha o tema",IF(COUNTIF('1. Temas'!$C$8:$C$37,D731)=0,"⚠ Tema não cadastrado","✔ OK")))</f>
        <v/>
      </c>
    </row>
    <row r="732">
      <c r="B732" s="40" t="n"/>
      <c r="C732" s="41" t="n"/>
      <c r="D732" s="42" t="n"/>
      <c r="E732" s="42" t="n"/>
      <c r="F732" s="43">
        <f>IF(AND(B732="",D732=""),"",IF(D732="","⚠ Escolha o tema",IF(COUNTIF('1. Temas'!$C$8:$C$37,D732)=0,"⚠ Tema não cadastrado","✔ OK")))</f>
        <v/>
      </c>
    </row>
    <row r="733">
      <c r="B733" s="40" t="n"/>
      <c r="C733" s="41" t="n"/>
      <c r="D733" s="42" t="n"/>
      <c r="E733" s="42" t="n"/>
      <c r="F733" s="43">
        <f>IF(AND(B733="",D733=""),"",IF(D733="","⚠ Escolha o tema",IF(COUNTIF('1. Temas'!$C$8:$C$37,D733)=0,"⚠ Tema não cadastrado","✔ OK")))</f>
        <v/>
      </c>
    </row>
    <row r="734">
      <c r="B734" s="40" t="n"/>
      <c r="C734" s="41" t="n"/>
      <c r="D734" s="42" t="n"/>
      <c r="E734" s="42" t="n"/>
      <c r="F734" s="43">
        <f>IF(AND(B734="",D734=""),"",IF(D734="","⚠ Escolha o tema",IF(COUNTIF('1. Temas'!$C$8:$C$37,D734)=0,"⚠ Tema não cadastrado","✔ OK")))</f>
        <v/>
      </c>
    </row>
    <row r="735">
      <c r="B735" s="40" t="n"/>
      <c r="C735" s="41" t="n"/>
      <c r="D735" s="42" t="n"/>
      <c r="E735" s="42" t="n"/>
      <c r="F735" s="43">
        <f>IF(AND(B735="",D735=""),"",IF(D735="","⚠ Escolha o tema",IF(COUNTIF('1. Temas'!$C$8:$C$37,D735)=0,"⚠ Tema não cadastrado","✔ OK")))</f>
        <v/>
      </c>
    </row>
    <row r="736">
      <c r="B736" s="40" t="n"/>
      <c r="C736" s="41" t="n"/>
      <c r="D736" s="42" t="n"/>
      <c r="E736" s="42" t="n"/>
      <c r="F736" s="43">
        <f>IF(AND(B736="",D736=""),"",IF(D736="","⚠ Escolha o tema",IF(COUNTIF('1. Temas'!$C$8:$C$37,D736)=0,"⚠ Tema não cadastrado","✔ OK")))</f>
        <v/>
      </c>
    </row>
    <row r="737">
      <c r="B737" s="40" t="n"/>
      <c r="C737" s="41" t="n"/>
      <c r="D737" s="42" t="n"/>
      <c r="E737" s="42" t="n"/>
      <c r="F737" s="43">
        <f>IF(AND(B737="",D737=""),"",IF(D737="","⚠ Escolha o tema",IF(COUNTIF('1. Temas'!$C$8:$C$37,D737)=0,"⚠ Tema não cadastrado","✔ OK")))</f>
        <v/>
      </c>
    </row>
    <row r="738">
      <c r="B738" s="40" t="n"/>
      <c r="C738" s="41" t="n"/>
      <c r="D738" s="42" t="n"/>
      <c r="E738" s="42" t="n"/>
      <c r="F738" s="43">
        <f>IF(AND(B738="",D738=""),"",IF(D738="","⚠ Escolha o tema",IF(COUNTIF('1. Temas'!$C$8:$C$37,D738)=0,"⚠ Tema não cadastrado","✔ OK")))</f>
        <v/>
      </c>
    </row>
    <row r="739">
      <c r="B739" s="40" t="n"/>
      <c r="C739" s="41" t="n"/>
      <c r="D739" s="42" t="n"/>
      <c r="E739" s="42" t="n"/>
      <c r="F739" s="43">
        <f>IF(AND(B739="",D739=""),"",IF(D739="","⚠ Escolha o tema",IF(COUNTIF('1. Temas'!$C$8:$C$37,D739)=0,"⚠ Tema não cadastrado","✔ OK")))</f>
        <v/>
      </c>
    </row>
    <row r="740">
      <c r="B740" s="40" t="n"/>
      <c r="C740" s="41" t="n"/>
      <c r="D740" s="42" t="n"/>
      <c r="E740" s="42" t="n"/>
      <c r="F740" s="43">
        <f>IF(AND(B740="",D740=""),"",IF(D740="","⚠ Escolha o tema",IF(COUNTIF('1. Temas'!$C$8:$C$37,D740)=0,"⚠ Tema não cadastrado","✔ OK")))</f>
        <v/>
      </c>
    </row>
    <row r="741">
      <c r="B741" s="40" t="n"/>
      <c r="C741" s="41" t="n"/>
      <c r="D741" s="42" t="n"/>
      <c r="E741" s="42" t="n"/>
      <c r="F741" s="43">
        <f>IF(AND(B741="",D741=""),"",IF(D741="","⚠ Escolha o tema",IF(COUNTIF('1. Temas'!$C$8:$C$37,D741)=0,"⚠ Tema não cadastrado","✔ OK")))</f>
        <v/>
      </c>
    </row>
    <row r="742">
      <c r="B742" s="40" t="n"/>
      <c r="C742" s="41" t="n"/>
      <c r="D742" s="42" t="n"/>
      <c r="E742" s="42" t="n"/>
      <c r="F742" s="43">
        <f>IF(AND(B742="",D742=""),"",IF(D742="","⚠ Escolha o tema",IF(COUNTIF('1. Temas'!$C$8:$C$37,D742)=0,"⚠ Tema não cadastrado","✔ OK")))</f>
        <v/>
      </c>
    </row>
    <row r="743">
      <c r="B743" s="40" t="n"/>
      <c r="C743" s="41" t="n"/>
      <c r="D743" s="42" t="n"/>
      <c r="E743" s="42" t="n"/>
      <c r="F743" s="43">
        <f>IF(AND(B743="",D743=""),"",IF(D743="","⚠ Escolha o tema",IF(COUNTIF('1. Temas'!$C$8:$C$37,D743)=0,"⚠ Tema não cadastrado","✔ OK")))</f>
        <v/>
      </c>
    </row>
    <row r="744">
      <c r="B744" s="40" t="n"/>
      <c r="C744" s="41" t="n"/>
      <c r="D744" s="42" t="n"/>
      <c r="E744" s="42" t="n"/>
      <c r="F744" s="43">
        <f>IF(AND(B744="",D744=""),"",IF(D744="","⚠ Escolha o tema",IF(COUNTIF('1. Temas'!$C$8:$C$37,D744)=0,"⚠ Tema não cadastrado","✔ OK")))</f>
        <v/>
      </c>
    </row>
    <row r="745">
      <c r="B745" s="40" t="n"/>
      <c r="C745" s="41" t="n"/>
      <c r="D745" s="42" t="n"/>
      <c r="E745" s="42" t="n"/>
      <c r="F745" s="43">
        <f>IF(AND(B745="",D745=""),"",IF(D745="","⚠ Escolha o tema",IF(COUNTIF('1. Temas'!$C$8:$C$37,D745)=0,"⚠ Tema não cadastrado","✔ OK")))</f>
        <v/>
      </c>
    </row>
    <row r="746">
      <c r="B746" s="40" t="n"/>
      <c r="C746" s="41" t="n"/>
      <c r="D746" s="42" t="n"/>
      <c r="E746" s="42" t="n"/>
      <c r="F746" s="43">
        <f>IF(AND(B746="",D746=""),"",IF(D746="","⚠ Escolha o tema",IF(COUNTIF('1. Temas'!$C$8:$C$37,D746)=0,"⚠ Tema não cadastrado","✔ OK")))</f>
        <v/>
      </c>
    </row>
    <row r="747">
      <c r="B747" s="40" t="n"/>
      <c r="C747" s="41" t="n"/>
      <c r="D747" s="42" t="n"/>
      <c r="E747" s="42" t="n"/>
      <c r="F747" s="43">
        <f>IF(AND(B747="",D747=""),"",IF(D747="","⚠ Escolha o tema",IF(COUNTIF('1. Temas'!$C$8:$C$37,D747)=0,"⚠ Tema não cadastrado","✔ OK")))</f>
        <v/>
      </c>
    </row>
    <row r="748">
      <c r="B748" s="40" t="n"/>
      <c r="C748" s="41" t="n"/>
      <c r="D748" s="42" t="n"/>
      <c r="E748" s="42" t="n"/>
      <c r="F748" s="43">
        <f>IF(AND(B748="",D748=""),"",IF(D748="","⚠ Escolha o tema",IF(COUNTIF('1. Temas'!$C$8:$C$37,D748)=0,"⚠ Tema não cadastrado","✔ OK")))</f>
        <v/>
      </c>
    </row>
    <row r="749">
      <c r="B749" s="40" t="n"/>
      <c r="C749" s="41" t="n"/>
      <c r="D749" s="42" t="n"/>
      <c r="E749" s="42" t="n"/>
      <c r="F749" s="43">
        <f>IF(AND(B749="",D749=""),"",IF(D749="","⚠ Escolha o tema",IF(COUNTIF('1. Temas'!$C$8:$C$37,D749)=0,"⚠ Tema não cadastrado","✔ OK")))</f>
        <v/>
      </c>
    </row>
    <row r="750">
      <c r="B750" s="40" t="n"/>
      <c r="C750" s="41" t="n"/>
      <c r="D750" s="42" t="n"/>
      <c r="E750" s="42" t="n"/>
      <c r="F750" s="43">
        <f>IF(AND(B750="",D750=""),"",IF(D750="","⚠ Escolha o tema",IF(COUNTIF('1. Temas'!$C$8:$C$37,D750)=0,"⚠ Tema não cadastrado","✔ OK")))</f>
        <v/>
      </c>
    </row>
    <row r="751">
      <c r="B751" s="40" t="n"/>
      <c r="C751" s="41" t="n"/>
      <c r="D751" s="42" t="n"/>
      <c r="E751" s="42" t="n"/>
      <c r="F751" s="43">
        <f>IF(AND(B751="",D751=""),"",IF(D751="","⚠ Escolha o tema",IF(COUNTIF('1. Temas'!$C$8:$C$37,D751)=0,"⚠ Tema não cadastrado","✔ OK")))</f>
        <v/>
      </c>
    </row>
    <row r="752">
      <c r="B752" s="40" t="n"/>
      <c r="C752" s="41" t="n"/>
      <c r="D752" s="42" t="n"/>
      <c r="E752" s="42" t="n"/>
      <c r="F752" s="43">
        <f>IF(AND(B752="",D752=""),"",IF(D752="","⚠ Escolha o tema",IF(COUNTIF('1. Temas'!$C$8:$C$37,D752)=0,"⚠ Tema não cadastrado","✔ OK")))</f>
        <v/>
      </c>
    </row>
    <row r="753">
      <c r="B753" s="40" t="n"/>
      <c r="C753" s="41" t="n"/>
      <c r="D753" s="42" t="n"/>
      <c r="E753" s="42" t="n"/>
      <c r="F753" s="43">
        <f>IF(AND(B753="",D753=""),"",IF(D753="","⚠ Escolha o tema",IF(COUNTIF('1. Temas'!$C$8:$C$37,D753)=0,"⚠ Tema não cadastrado","✔ OK")))</f>
        <v/>
      </c>
    </row>
    <row r="754">
      <c r="B754" s="40" t="n"/>
      <c r="C754" s="41" t="n"/>
      <c r="D754" s="42" t="n"/>
      <c r="E754" s="42" t="n"/>
      <c r="F754" s="43">
        <f>IF(AND(B754="",D754=""),"",IF(D754="","⚠ Escolha o tema",IF(COUNTIF('1. Temas'!$C$8:$C$37,D754)=0,"⚠ Tema não cadastrado","✔ OK")))</f>
        <v/>
      </c>
    </row>
    <row r="755">
      <c r="B755" s="40" t="n"/>
      <c r="C755" s="41" t="n"/>
      <c r="D755" s="42" t="n"/>
      <c r="E755" s="42" t="n"/>
      <c r="F755" s="43">
        <f>IF(AND(B755="",D755=""),"",IF(D755="","⚠ Escolha o tema",IF(COUNTIF('1. Temas'!$C$8:$C$37,D755)=0,"⚠ Tema não cadastrado","✔ OK")))</f>
        <v/>
      </c>
    </row>
    <row r="756">
      <c r="B756" s="40" t="n"/>
      <c r="C756" s="41" t="n"/>
      <c r="D756" s="42" t="n"/>
      <c r="E756" s="42" t="n"/>
      <c r="F756" s="43">
        <f>IF(AND(B756="",D756=""),"",IF(D756="","⚠ Escolha o tema",IF(COUNTIF('1. Temas'!$C$8:$C$37,D756)=0,"⚠ Tema não cadastrado","✔ OK")))</f>
        <v/>
      </c>
    </row>
    <row r="757">
      <c r="B757" s="40" t="n"/>
      <c r="C757" s="41" t="n"/>
      <c r="D757" s="42" t="n"/>
      <c r="E757" s="42" t="n"/>
      <c r="F757" s="43">
        <f>IF(AND(B757="",D757=""),"",IF(D757="","⚠ Escolha o tema",IF(COUNTIF('1. Temas'!$C$8:$C$37,D757)=0,"⚠ Tema não cadastrado","✔ OK")))</f>
        <v/>
      </c>
    </row>
    <row r="758">
      <c r="B758" s="40" t="n"/>
      <c r="C758" s="41" t="n"/>
      <c r="D758" s="42" t="n"/>
      <c r="E758" s="42" t="n"/>
      <c r="F758" s="43">
        <f>IF(AND(B758="",D758=""),"",IF(D758="","⚠ Escolha o tema",IF(COUNTIF('1. Temas'!$C$8:$C$37,D758)=0,"⚠ Tema não cadastrado","✔ OK")))</f>
        <v/>
      </c>
    </row>
    <row r="759">
      <c r="B759" s="40" t="n"/>
      <c r="C759" s="41" t="n"/>
      <c r="D759" s="42" t="n"/>
      <c r="E759" s="42" t="n"/>
      <c r="F759" s="43">
        <f>IF(AND(B759="",D759=""),"",IF(D759="","⚠ Escolha o tema",IF(COUNTIF('1. Temas'!$C$8:$C$37,D759)=0,"⚠ Tema não cadastrado","✔ OK")))</f>
        <v/>
      </c>
    </row>
    <row r="760">
      <c r="B760" s="40" t="n"/>
      <c r="C760" s="41" t="n"/>
      <c r="D760" s="42" t="n"/>
      <c r="E760" s="42" t="n"/>
      <c r="F760" s="43">
        <f>IF(AND(B760="",D760=""),"",IF(D760="","⚠ Escolha o tema",IF(COUNTIF('1. Temas'!$C$8:$C$37,D760)=0,"⚠ Tema não cadastrado","✔ OK")))</f>
        <v/>
      </c>
    </row>
    <row r="761">
      <c r="B761" s="40" t="n"/>
      <c r="C761" s="41" t="n"/>
      <c r="D761" s="42" t="n"/>
      <c r="E761" s="42" t="n"/>
      <c r="F761" s="43">
        <f>IF(AND(B761="",D761=""),"",IF(D761="","⚠ Escolha o tema",IF(COUNTIF('1. Temas'!$C$8:$C$37,D761)=0,"⚠ Tema não cadastrado","✔ OK")))</f>
        <v/>
      </c>
    </row>
    <row r="762">
      <c r="B762" s="40" t="n"/>
      <c r="C762" s="41" t="n"/>
      <c r="D762" s="42" t="n"/>
      <c r="E762" s="42" t="n"/>
      <c r="F762" s="43">
        <f>IF(AND(B762="",D762=""),"",IF(D762="","⚠ Escolha o tema",IF(COUNTIF('1. Temas'!$C$8:$C$37,D762)=0,"⚠ Tema não cadastrado","✔ OK")))</f>
        <v/>
      </c>
    </row>
    <row r="763">
      <c r="B763" s="40" t="n"/>
      <c r="C763" s="41" t="n"/>
      <c r="D763" s="42" t="n"/>
      <c r="E763" s="42" t="n"/>
      <c r="F763" s="43">
        <f>IF(AND(B763="",D763=""),"",IF(D763="","⚠ Escolha o tema",IF(COUNTIF('1. Temas'!$C$8:$C$37,D763)=0,"⚠ Tema não cadastrado","✔ OK")))</f>
        <v/>
      </c>
    </row>
    <row r="764">
      <c r="B764" s="40" t="n"/>
      <c r="C764" s="41" t="n"/>
      <c r="D764" s="42" t="n"/>
      <c r="E764" s="42" t="n"/>
      <c r="F764" s="43">
        <f>IF(AND(B764="",D764=""),"",IF(D764="","⚠ Escolha o tema",IF(COUNTIF('1. Temas'!$C$8:$C$37,D764)=0,"⚠ Tema não cadastrado","✔ OK")))</f>
        <v/>
      </c>
    </row>
    <row r="765">
      <c r="B765" s="40" t="n"/>
      <c r="C765" s="41" t="n"/>
      <c r="D765" s="42" t="n"/>
      <c r="E765" s="42" t="n"/>
      <c r="F765" s="43">
        <f>IF(AND(B765="",D765=""),"",IF(D765="","⚠ Escolha o tema",IF(COUNTIF('1. Temas'!$C$8:$C$37,D765)=0,"⚠ Tema não cadastrado","✔ OK")))</f>
        <v/>
      </c>
    </row>
    <row r="766">
      <c r="B766" s="40" t="n"/>
      <c r="C766" s="41" t="n"/>
      <c r="D766" s="42" t="n"/>
      <c r="E766" s="42" t="n"/>
      <c r="F766" s="43">
        <f>IF(AND(B766="",D766=""),"",IF(D766="","⚠ Escolha o tema",IF(COUNTIF('1. Temas'!$C$8:$C$37,D766)=0,"⚠ Tema não cadastrado","✔ OK")))</f>
        <v/>
      </c>
    </row>
    <row r="767">
      <c r="B767" s="40" t="n"/>
      <c r="C767" s="41" t="n"/>
      <c r="D767" s="42" t="n"/>
      <c r="E767" s="42" t="n"/>
      <c r="F767" s="43">
        <f>IF(AND(B767="",D767=""),"",IF(D767="","⚠ Escolha o tema",IF(COUNTIF('1. Temas'!$C$8:$C$37,D767)=0,"⚠ Tema não cadastrado","✔ OK")))</f>
        <v/>
      </c>
    </row>
    <row r="768">
      <c r="B768" s="40" t="n"/>
      <c r="C768" s="41" t="n"/>
      <c r="D768" s="42" t="n"/>
      <c r="E768" s="42" t="n"/>
      <c r="F768" s="43">
        <f>IF(AND(B768="",D768=""),"",IF(D768="","⚠ Escolha o tema",IF(COUNTIF('1. Temas'!$C$8:$C$37,D768)=0,"⚠ Tema não cadastrado","✔ OK")))</f>
        <v/>
      </c>
    </row>
    <row r="769">
      <c r="B769" s="40" t="n"/>
      <c r="C769" s="41" t="n"/>
      <c r="D769" s="42" t="n"/>
      <c r="E769" s="42" t="n"/>
      <c r="F769" s="43">
        <f>IF(AND(B769="",D769=""),"",IF(D769="","⚠ Escolha o tema",IF(COUNTIF('1. Temas'!$C$8:$C$37,D769)=0,"⚠ Tema não cadastrado","✔ OK")))</f>
        <v/>
      </c>
    </row>
    <row r="770">
      <c r="B770" s="40" t="n"/>
      <c r="C770" s="41" t="n"/>
      <c r="D770" s="42" t="n"/>
      <c r="E770" s="42" t="n"/>
      <c r="F770" s="43">
        <f>IF(AND(B770="",D770=""),"",IF(D770="","⚠ Escolha o tema",IF(COUNTIF('1. Temas'!$C$8:$C$37,D770)=0,"⚠ Tema não cadastrado","✔ OK")))</f>
        <v/>
      </c>
    </row>
    <row r="771">
      <c r="B771" s="40" t="n"/>
      <c r="C771" s="41" t="n"/>
      <c r="D771" s="42" t="n"/>
      <c r="E771" s="42" t="n"/>
      <c r="F771" s="43">
        <f>IF(AND(B771="",D771=""),"",IF(D771="","⚠ Escolha o tema",IF(COUNTIF('1. Temas'!$C$8:$C$37,D771)=0,"⚠ Tema não cadastrado","✔ OK")))</f>
        <v/>
      </c>
    </row>
    <row r="772">
      <c r="B772" s="40" t="n"/>
      <c r="C772" s="41" t="n"/>
      <c r="D772" s="42" t="n"/>
      <c r="E772" s="42" t="n"/>
      <c r="F772" s="43">
        <f>IF(AND(B772="",D772=""),"",IF(D772="","⚠ Escolha o tema",IF(COUNTIF('1. Temas'!$C$8:$C$37,D772)=0,"⚠ Tema não cadastrado","✔ OK")))</f>
        <v/>
      </c>
    </row>
    <row r="773">
      <c r="B773" s="40" t="n"/>
      <c r="C773" s="41" t="n"/>
      <c r="D773" s="42" t="n"/>
      <c r="E773" s="42" t="n"/>
      <c r="F773" s="43">
        <f>IF(AND(B773="",D773=""),"",IF(D773="","⚠ Escolha o tema",IF(COUNTIF('1. Temas'!$C$8:$C$37,D773)=0,"⚠ Tema não cadastrado","✔ OK")))</f>
        <v/>
      </c>
    </row>
    <row r="774">
      <c r="B774" s="40" t="n"/>
      <c r="C774" s="41" t="n"/>
      <c r="D774" s="42" t="n"/>
      <c r="E774" s="42" t="n"/>
      <c r="F774" s="43">
        <f>IF(AND(B774="",D774=""),"",IF(D774="","⚠ Escolha o tema",IF(COUNTIF('1. Temas'!$C$8:$C$37,D774)=0,"⚠ Tema não cadastrado","✔ OK")))</f>
        <v/>
      </c>
    </row>
    <row r="775">
      <c r="B775" s="40" t="n"/>
      <c r="C775" s="41" t="n"/>
      <c r="D775" s="42" t="n"/>
      <c r="E775" s="42" t="n"/>
      <c r="F775" s="43">
        <f>IF(AND(B775="",D775=""),"",IF(D775="","⚠ Escolha o tema",IF(COUNTIF('1. Temas'!$C$8:$C$37,D775)=0,"⚠ Tema não cadastrado","✔ OK")))</f>
        <v/>
      </c>
    </row>
    <row r="776">
      <c r="B776" s="40" t="n"/>
      <c r="C776" s="41" t="n"/>
      <c r="D776" s="42" t="n"/>
      <c r="E776" s="42" t="n"/>
      <c r="F776" s="43">
        <f>IF(AND(B776="",D776=""),"",IF(D776="","⚠ Escolha o tema",IF(COUNTIF('1. Temas'!$C$8:$C$37,D776)=0,"⚠ Tema não cadastrado","✔ OK")))</f>
        <v/>
      </c>
    </row>
    <row r="777">
      <c r="B777" s="40" t="n"/>
      <c r="C777" s="41" t="n"/>
      <c r="D777" s="42" t="n"/>
      <c r="E777" s="42" t="n"/>
      <c r="F777" s="43">
        <f>IF(AND(B777="",D777=""),"",IF(D777="","⚠ Escolha o tema",IF(COUNTIF('1. Temas'!$C$8:$C$37,D777)=0,"⚠ Tema não cadastrado","✔ OK")))</f>
        <v/>
      </c>
    </row>
    <row r="778">
      <c r="B778" s="40" t="n"/>
      <c r="C778" s="41" t="n"/>
      <c r="D778" s="42" t="n"/>
      <c r="E778" s="42" t="n"/>
      <c r="F778" s="43">
        <f>IF(AND(B778="",D778=""),"",IF(D778="","⚠ Escolha o tema",IF(COUNTIF('1. Temas'!$C$8:$C$37,D778)=0,"⚠ Tema não cadastrado","✔ OK")))</f>
        <v/>
      </c>
    </row>
    <row r="779">
      <c r="B779" s="40" t="n"/>
      <c r="C779" s="41" t="n"/>
      <c r="D779" s="42" t="n"/>
      <c r="E779" s="42" t="n"/>
      <c r="F779" s="43">
        <f>IF(AND(B779="",D779=""),"",IF(D779="","⚠ Escolha o tema",IF(COUNTIF('1. Temas'!$C$8:$C$37,D779)=0,"⚠ Tema não cadastrado","✔ OK")))</f>
        <v/>
      </c>
    </row>
    <row r="780">
      <c r="B780" s="40" t="n"/>
      <c r="C780" s="41" t="n"/>
      <c r="D780" s="42" t="n"/>
      <c r="E780" s="42" t="n"/>
      <c r="F780" s="43">
        <f>IF(AND(B780="",D780=""),"",IF(D780="","⚠ Escolha o tema",IF(COUNTIF('1. Temas'!$C$8:$C$37,D780)=0,"⚠ Tema não cadastrado","✔ OK")))</f>
        <v/>
      </c>
    </row>
    <row r="781">
      <c r="B781" s="40" t="n"/>
      <c r="C781" s="41" t="n"/>
      <c r="D781" s="42" t="n"/>
      <c r="E781" s="42" t="n"/>
      <c r="F781" s="43">
        <f>IF(AND(B781="",D781=""),"",IF(D781="","⚠ Escolha o tema",IF(COUNTIF('1. Temas'!$C$8:$C$37,D781)=0,"⚠ Tema não cadastrado","✔ OK")))</f>
        <v/>
      </c>
    </row>
    <row r="782">
      <c r="B782" s="40" t="n"/>
      <c r="C782" s="41" t="n"/>
      <c r="D782" s="42" t="n"/>
      <c r="E782" s="42" t="n"/>
      <c r="F782" s="43">
        <f>IF(AND(B782="",D782=""),"",IF(D782="","⚠ Escolha o tema",IF(COUNTIF('1. Temas'!$C$8:$C$37,D782)=0,"⚠ Tema não cadastrado","✔ OK")))</f>
        <v/>
      </c>
    </row>
    <row r="783">
      <c r="B783" s="40" t="n"/>
      <c r="C783" s="41" t="n"/>
      <c r="D783" s="42" t="n"/>
      <c r="E783" s="42" t="n"/>
      <c r="F783" s="43">
        <f>IF(AND(B783="",D783=""),"",IF(D783="","⚠ Escolha o tema",IF(COUNTIF('1. Temas'!$C$8:$C$37,D783)=0,"⚠ Tema não cadastrado","✔ OK")))</f>
        <v/>
      </c>
    </row>
    <row r="784">
      <c r="B784" s="40" t="n"/>
      <c r="C784" s="41" t="n"/>
      <c r="D784" s="42" t="n"/>
      <c r="E784" s="42" t="n"/>
      <c r="F784" s="43">
        <f>IF(AND(B784="",D784=""),"",IF(D784="","⚠ Escolha o tema",IF(COUNTIF('1. Temas'!$C$8:$C$37,D784)=0,"⚠ Tema não cadastrado","✔ OK")))</f>
        <v/>
      </c>
    </row>
    <row r="785">
      <c r="B785" s="40" t="n"/>
      <c r="C785" s="41" t="n"/>
      <c r="D785" s="42" t="n"/>
      <c r="E785" s="42" t="n"/>
      <c r="F785" s="43">
        <f>IF(AND(B785="",D785=""),"",IF(D785="","⚠ Escolha o tema",IF(COUNTIF('1. Temas'!$C$8:$C$37,D785)=0,"⚠ Tema não cadastrado","✔ OK")))</f>
        <v/>
      </c>
    </row>
    <row r="786">
      <c r="B786" s="40" t="n"/>
      <c r="C786" s="41" t="n"/>
      <c r="D786" s="42" t="n"/>
      <c r="E786" s="42" t="n"/>
      <c r="F786" s="43">
        <f>IF(AND(B786="",D786=""),"",IF(D786="","⚠ Escolha o tema",IF(COUNTIF('1. Temas'!$C$8:$C$37,D786)=0,"⚠ Tema não cadastrado","✔ OK")))</f>
        <v/>
      </c>
    </row>
    <row r="787">
      <c r="B787" s="40" t="n"/>
      <c r="C787" s="41" t="n"/>
      <c r="D787" s="42" t="n"/>
      <c r="E787" s="42" t="n"/>
      <c r="F787" s="43">
        <f>IF(AND(B787="",D787=""),"",IF(D787="","⚠ Escolha o tema",IF(COUNTIF('1. Temas'!$C$8:$C$37,D787)=0,"⚠ Tema não cadastrado","✔ OK")))</f>
        <v/>
      </c>
    </row>
    <row r="788">
      <c r="B788" s="40" t="n"/>
      <c r="C788" s="41" t="n"/>
      <c r="D788" s="42" t="n"/>
      <c r="E788" s="42" t="n"/>
      <c r="F788" s="43">
        <f>IF(AND(B788="",D788=""),"",IF(D788="","⚠ Escolha o tema",IF(COUNTIF('1. Temas'!$C$8:$C$37,D788)=0,"⚠ Tema não cadastrado","✔ OK")))</f>
        <v/>
      </c>
    </row>
    <row r="789">
      <c r="B789" s="40" t="n"/>
      <c r="C789" s="41" t="n"/>
      <c r="D789" s="42" t="n"/>
      <c r="E789" s="42" t="n"/>
      <c r="F789" s="43">
        <f>IF(AND(B789="",D789=""),"",IF(D789="","⚠ Escolha o tema",IF(COUNTIF('1. Temas'!$C$8:$C$37,D789)=0,"⚠ Tema não cadastrado","✔ OK")))</f>
        <v/>
      </c>
    </row>
    <row r="790">
      <c r="B790" s="40" t="n"/>
      <c r="C790" s="41" t="n"/>
      <c r="D790" s="42" t="n"/>
      <c r="E790" s="42" t="n"/>
      <c r="F790" s="43">
        <f>IF(AND(B790="",D790=""),"",IF(D790="","⚠ Escolha o tema",IF(COUNTIF('1. Temas'!$C$8:$C$37,D790)=0,"⚠ Tema não cadastrado","✔ OK")))</f>
        <v/>
      </c>
    </row>
    <row r="791">
      <c r="B791" s="40" t="n"/>
      <c r="C791" s="41" t="n"/>
      <c r="D791" s="42" t="n"/>
      <c r="E791" s="42" t="n"/>
      <c r="F791" s="43">
        <f>IF(AND(B791="",D791=""),"",IF(D791="","⚠ Escolha o tema",IF(COUNTIF('1. Temas'!$C$8:$C$37,D791)=0,"⚠ Tema não cadastrado","✔ OK")))</f>
        <v/>
      </c>
    </row>
    <row r="792">
      <c r="B792" s="40" t="n"/>
      <c r="C792" s="41" t="n"/>
      <c r="D792" s="42" t="n"/>
      <c r="E792" s="42" t="n"/>
      <c r="F792" s="43">
        <f>IF(AND(B792="",D792=""),"",IF(D792="","⚠ Escolha o tema",IF(COUNTIF('1. Temas'!$C$8:$C$37,D792)=0,"⚠ Tema não cadastrado","✔ OK")))</f>
        <v/>
      </c>
    </row>
    <row r="793">
      <c r="B793" s="40" t="n"/>
      <c r="C793" s="41" t="n"/>
      <c r="D793" s="42" t="n"/>
      <c r="E793" s="42" t="n"/>
      <c r="F793" s="43">
        <f>IF(AND(B793="",D793=""),"",IF(D793="","⚠ Escolha o tema",IF(COUNTIF('1. Temas'!$C$8:$C$37,D793)=0,"⚠ Tema não cadastrado","✔ OK")))</f>
        <v/>
      </c>
    </row>
    <row r="794">
      <c r="B794" s="40" t="n"/>
      <c r="C794" s="41" t="n"/>
      <c r="D794" s="42" t="n"/>
      <c r="E794" s="42" t="n"/>
      <c r="F794" s="43">
        <f>IF(AND(B794="",D794=""),"",IF(D794="","⚠ Escolha o tema",IF(COUNTIF('1. Temas'!$C$8:$C$37,D794)=0,"⚠ Tema não cadastrado","✔ OK")))</f>
        <v/>
      </c>
    </row>
    <row r="795">
      <c r="B795" s="40" t="n"/>
      <c r="C795" s="41" t="n"/>
      <c r="D795" s="42" t="n"/>
      <c r="E795" s="42" t="n"/>
      <c r="F795" s="43">
        <f>IF(AND(B795="",D795=""),"",IF(D795="","⚠ Escolha o tema",IF(COUNTIF('1. Temas'!$C$8:$C$37,D795)=0,"⚠ Tema não cadastrado","✔ OK")))</f>
        <v/>
      </c>
    </row>
    <row r="796">
      <c r="B796" s="40" t="n"/>
      <c r="C796" s="41" t="n"/>
      <c r="D796" s="42" t="n"/>
      <c r="E796" s="42" t="n"/>
      <c r="F796" s="43">
        <f>IF(AND(B796="",D796=""),"",IF(D796="","⚠ Escolha o tema",IF(COUNTIF('1. Temas'!$C$8:$C$37,D796)=0,"⚠ Tema não cadastrado","✔ OK")))</f>
        <v/>
      </c>
    </row>
    <row r="797">
      <c r="B797" s="40" t="n"/>
      <c r="C797" s="41" t="n"/>
      <c r="D797" s="42" t="n"/>
      <c r="E797" s="42" t="n"/>
      <c r="F797" s="43">
        <f>IF(AND(B797="",D797=""),"",IF(D797="","⚠ Escolha o tema",IF(COUNTIF('1. Temas'!$C$8:$C$37,D797)=0,"⚠ Tema não cadastrado","✔ OK")))</f>
        <v/>
      </c>
    </row>
    <row r="798">
      <c r="B798" s="40" t="n"/>
      <c r="C798" s="41" t="n"/>
      <c r="D798" s="42" t="n"/>
      <c r="E798" s="42" t="n"/>
      <c r="F798" s="43">
        <f>IF(AND(B798="",D798=""),"",IF(D798="","⚠ Escolha o tema",IF(COUNTIF('1. Temas'!$C$8:$C$37,D798)=0,"⚠ Tema não cadastrado","✔ OK")))</f>
        <v/>
      </c>
    </row>
    <row r="799">
      <c r="B799" s="40" t="n"/>
      <c r="C799" s="41" t="n"/>
      <c r="D799" s="42" t="n"/>
      <c r="E799" s="42" t="n"/>
      <c r="F799" s="43">
        <f>IF(AND(B799="",D799=""),"",IF(D799="","⚠ Escolha o tema",IF(COUNTIF('1. Temas'!$C$8:$C$37,D799)=0,"⚠ Tema não cadastrado","✔ OK")))</f>
        <v/>
      </c>
    </row>
    <row r="800">
      <c r="B800" s="40" t="n"/>
      <c r="C800" s="41" t="n"/>
      <c r="D800" s="42" t="n"/>
      <c r="E800" s="42" t="n"/>
      <c r="F800" s="43">
        <f>IF(AND(B800="",D800=""),"",IF(D800="","⚠ Escolha o tema",IF(COUNTIF('1. Temas'!$C$8:$C$37,D800)=0,"⚠ Tema não cadastrado","✔ OK")))</f>
        <v/>
      </c>
    </row>
    <row r="801">
      <c r="B801" s="40" t="n"/>
      <c r="C801" s="41" t="n"/>
      <c r="D801" s="42" t="n"/>
      <c r="E801" s="42" t="n"/>
      <c r="F801" s="43">
        <f>IF(AND(B801="",D801=""),"",IF(D801="","⚠ Escolha o tema",IF(COUNTIF('1. Temas'!$C$8:$C$37,D801)=0,"⚠ Tema não cadastrado","✔ OK")))</f>
        <v/>
      </c>
    </row>
    <row r="802">
      <c r="B802" s="40" t="n"/>
      <c r="C802" s="41" t="n"/>
      <c r="D802" s="42" t="n"/>
      <c r="E802" s="42" t="n"/>
      <c r="F802" s="43">
        <f>IF(AND(B802="",D802=""),"",IF(D802="","⚠ Escolha o tema",IF(COUNTIF('1. Temas'!$C$8:$C$37,D802)=0,"⚠ Tema não cadastrado","✔ OK")))</f>
        <v/>
      </c>
    </row>
    <row r="803">
      <c r="B803" s="40" t="n"/>
      <c r="C803" s="41" t="n"/>
      <c r="D803" s="42" t="n"/>
      <c r="E803" s="42" t="n"/>
      <c r="F803" s="43">
        <f>IF(AND(B803="",D803=""),"",IF(D803="","⚠ Escolha o tema",IF(COUNTIF('1. Temas'!$C$8:$C$37,D803)=0,"⚠ Tema não cadastrado","✔ OK")))</f>
        <v/>
      </c>
    </row>
    <row r="804">
      <c r="B804" s="40" t="n"/>
      <c r="C804" s="41" t="n"/>
      <c r="D804" s="42" t="n"/>
      <c r="E804" s="42" t="n"/>
      <c r="F804" s="43">
        <f>IF(AND(B804="",D804=""),"",IF(D804="","⚠ Escolha o tema",IF(COUNTIF('1. Temas'!$C$8:$C$37,D804)=0,"⚠ Tema não cadastrado","✔ OK")))</f>
        <v/>
      </c>
    </row>
    <row r="805">
      <c r="B805" s="40" t="n"/>
      <c r="C805" s="41" t="n"/>
      <c r="D805" s="42" t="n"/>
      <c r="E805" s="42" t="n"/>
      <c r="F805" s="43">
        <f>IF(AND(B805="",D805=""),"",IF(D805="","⚠ Escolha o tema",IF(COUNTIF('1. Temas'!$C$8:$C$37,D805)=0,"⚠ Tema não cadastrado","✔ OK")))</f>
        <v/>
      </c>
    </row>
    <row r="806">
      <c r="B806" s="40" t="n"/>
      <c r="C806" s="41" t="n"/>
      <c r="D806" s="42" t="n"/>
      <c r="E806" s="42" t="n"/>
      <c r="F806" s="43">
        <f>IF(AND(B806="",D806=""),"",IF(D806="","⚠ Escolha o tema",IF(COUNTIF('1. Temas'!$C$8:$C$37,D806)=0,"⚠ Tema não cadastrado","✔ OK")))</f>
        <v/>
      </c>
    </row>
    <row r="807">
      <c r="B807" s="40" t="n"/>
      <c r="C807" s="41" t="n"/>
      <c r="D807" s="42" t="n"/>
      <c r="E807" s="42" t="n"/>
      <c r="F807" s="43">
        <f>IF(AND(B807="",D807=""),"",IF(D807="","⚠ Escolha o tema",IF(COUNTIF('1. Temas'!$C$8:$C$37,D807)=0,"⚠ Tema não cadastrado","✔ OK")))</f>
        <v/>
      </c>
    </row>
    <row r="808">
      <c r="B808" s="40" t="n"/>
      <c r="C808" s="41" t="n"/>
      <c r="D808" s="42" t="n"/>
      <c r="E808" s="42" t="n"/>
      <c r="F808" s="43">
        <f>IF(AND(B808="",D808=""),"",IF(D808="","⚠ Escolha o tema",IF(COUNTIF('1. Temas'!$C$8:$C$37,D808)=0,"⚠ Tema não cadastrado","✔ OK")))</f>
        <v/>
      </c>
    </row>
    <row r="809">
      <c r="B809" s="40" t="n"/>
      <c r="C809" s="41" t="n"/>
      <c r="D809" s="42" t="n"/>
      <c r="E809" s="42" t="n"/>
      <c r="F809" s="43">
        <f>IF(AND(B809="",D809=""),"",IF(D809="","⚠ Escolha o tema",IF(COUNTIF('1. Temas'!$C$8:$C$37,D809)=0,"⚠ Tema não cadastrado","✔ OK")))</f>
        <v/>
      </c>
    </row>
    <row r="810">
      <c r="B810" s="40" t="n"/>
      <c r="C810" s="41" t="n"/>
      <c r="D810" s="42" t="n"/>
      <c r="E810" s="42" t="n"/>
      <c r="F810" s="43">
        <f>IF(AND(B810="",D810=""),"",IF(D810="","⚠ Escolha o tema",IF(COUNTIF('1. Temas'!$C$8:$C$37,D810)=0,"⚠ Tema não cadastrado","✔ OK")))</f>
        <v/>
      </c>
    </row>
    <row r="811">
      <c r="B811" s="40" t="n"/>
      <c r="C811" s="41" t="n"/>
      <c r="D811" s="42" t="n"/>
      <c r="E811" s="42" t="n"/>
      <c r="F811" s="43">
        <f>IF(AND(B811="",D811=""),"",IF(D811="","⚠ Escolha o tema",IF(COUNTIF('1. Temas'!$C$8:$C$37,D811)=0,"⚠ Tema não cadastrado","✔ OK")))</f>
        <v/>
      </c>
    </row>
    <row r="812">
      <c r="B812" s="40" t="n"/>
      <c r="C812" s="41" t="n"/>
      <c r="D812" s="42" t="n"/>
      <c r="E812" s="42" t="n"/>
      <c r="F812" s="43">
        <f>IF(AND(B812="",D812=""),"",IF(D812="","⚠ Escolha o tema",IF(COUNTIF('1. Temas'!$C$8:$C$37,D812)=0,"⚠ Tema não cadastrado","✔ OK")))</f>
        <v/>
      </c>
    </row>
    <row r="813">
      <c r="B813" s="40" t="n"/>
      <c r="C813" s="41" t="n"/>
      <c r="D813" s="42" t="n"/>
      <c r="E813" s="42" t="n"/>
      <c r="F813" s="43">
        <f>IF(AND(B813="",D813=""),"",IF(D813="","⚠ Escolha o tema",IF(COUNTIF('1. Temas'!$C$8:$C$37,D813)=0,"⚠ Tema não cadastrado","✔ OK")))</f>
        <v/>
      </c>
    </row>
    <row r="814">
      <c r="B814" s="40" t="n"/>
      <c r="C814" s="41" t="n"/>
      <c r="D814" s="42" t="n"/>
      <c r="E814" s="42" t="n"/>
      <c r="F814" s="43">
        <f>IF(AND(B814="",D814=""),"",IF(D814="","⚠ Escolha o tema",IF(COUNTIF('1. Temas'!$C$8:$C$37,D814)=0,"⚠ Tema não cadastrado","✔ OK")))</f>
        <v/>
      </c>
    </row>
    <row r="815">
      <c r="B815" s="40" t="n"/>
      <c r="C815" s="41" t="n"/>
      <c r="D815" s="42" t="n"/>
      <c r="E815" s="42" t="n"/>
      <c r="F815" s="43">
        <f>IF(AND(B815="",D815=""),"",IF(D815="","⚠ Escolha o tema",IF(COUNTIF('1. Temas'!$C$8:$C$37,D815)=0,"⚠ Tema não cadastrado","✔ OK")))</f>
        <v/>
      </c>
    </row>
    <row r="816">
      <c r="B816" s="40" t="n"/>
      <c r="C816" s="41" t="n"/>
      <c r="D816" s="42" t="n"/>
      <c r="E816" s="42" t="n"/>
      <c r="F816" s="43">
        <f>IF(AND(B816="",D816=""),"",IF(D816="","⚠ Escolha o tema",IF(COUNTIF('1. Temas'!$C$8:$C$37,D816)=0,"⚠ Tema não cadastrado","✔ OK")))</f>
        <v/>
      </c>
    </row>
    <row r="817">
      <c r="B817" s="40" t="n"/>
      <c r="C817" s="41" t="n"/>
      <c r="D817" s="42" t="n"/>
      <c r="E817" s="42" t="n"/>
      <c r="F817" s="43">
        <f>IF(AND(B817="",D817=""),"",IF(D817="","⚠ Escolha o tema",IF(COUNTIF('1. Temas'!$C$8:$C$37,D817)=0,"⚠ Tema não cadastrado","✔ OK")))</f>
        <v/>
      </c>
    </row>
    <row r="818">
      <c r="B818" s="40" t="n"/>
      <c r="C818" s="41" t="n"/>
      <c r="D818" s="42" t="n"/>
      <c r="E818" s="42" t="n"/>
      <c r="F818" s="43">
        <f>IF(AND(B818="",D818=""),"",IF(D818="","⚠ Escolha o tema",IF(COUNTIF('1. Temas'!$C$8:$C$37,D818)=0,"⚠ Tema não cadastrado","✔ OK")))</f>
        <v/>
      </c>
    </row>
    <row r="819">
      <c r="B819" s="40" t="n"/>
      <c r="C819" s="41" t="n"/>
      <c r="D819" s="42" t="n"/>
      <c r="E819" s="42" t="n"/>
      <c r="F819" s="43">
        <f>IF(AND(B819="",D819=""),"",IF(D819="","⚠ Escolha o tema",IF(COUNTIF('1. Temas'!$C$8:$C$37,D819)=0,"⚠ Tema não cadastrado","✔ OK")))</f>
        <v/>
      </c>
    </row>
    <row r="820">
      <c r="B820" s="40" t="n"/>
      <c r="C820" s="41" t="n"/>
      <c r="D820" s="42" t="n"/>
      <c r="E820" s="42" t="n"/>
      <c r="F820" s="43">
        <f>IF(AND(B820="",D820=""),"",IF(D820="","⚠ Escolha o tema",IF(COUNTIF('1. Temas'!$C$8:$C$37,D820)=0,"⚠ Tema não cadastrado","✔ OK")))</f>
        <v/>
      </c>
    </row>
    <row r="821">
      <c r="B821" s="40" t="n"/>
      <c r="C821" s="41" t="n"/>
      <c r="D821" s="42" t="n"/>
      <c r="E821" s="42" t="n"/>
      <c r="F821" s="43">
        <f>IF(AND(B821="",D821=""),"",IF(D821="","⚠ Escolha o tema",IF(COUNTIF('1. Temas'!$C$8:$C$37,D821)=0,"⚠ Tema não cadastrado","✔ OK")))</f>
        <v/>
      </c>
    </row>
    <row r="822">
      <c r="B822" s="40" t="n"/>
      <c r="C822" s="41" t="n"/>
      <c r="D822" s="42" t="n"/>
      <c r="E822" s="42" t="n"/>
      <c r="F822" s="43">
        <f>IF(AND(B822="",D822=""),"",IF(D822="","⚠ Escolha o tema",IF(COUNTIF('1. Temas'!$C$8:$C$37,D822)=0,"⚠ Tema não cadastrado","✔ OK")))</f>
        <v/>
      </c>
    </row>
    <row r="823">
      <c r="B823" s="40" t="n"/>
      <c r="C823" s="41" t="n"/>
      <c r="D823" s="42" t="n"/>
      <c r="E823" s="42" t="n"/>
      <c r="F823" s="43">
        <f>IF(AND(B823="",D823=""),"",IF(D823="","⚠ Escolha o tema",IF(COUNTIF('1. Temas'!$C$8:$C$37,D823)=0,"⚠ Tema não cadastrado","✔ OK")))</f>
        <v/>
      </c>
    </row>
    <row r="824">
      <c r="B824" s="40" t="n"/>
      <c r="C824" s="41" t="n"/>
      <c r="D824" s="42" t="n"/>
      <c r="E824" s="42" t="n"/>
      <c r="F824" s="43">
        <f>IF(AND(B824="",D824=""),"",IF(D824="","⚠ Escolha o tema",IF(COUNTIF('1. Temas'!$C$8:$C$37,D824)=0,"⚠ Tema não cadastrado","✔ OK")))</f>
        <v/>
      </c>
    </row>
    <row r="825">
      <c r="B825" s="40" t="n"/>
      <c r="C825" s="41" t="n"/>
      <c r="D825" s="42" t="n"/>
      <c r="E825" s="42" t="n"/>
      <c r="F825" s="43">
        <f>IF(AND(B825="",D825=""),"",IF(D825="","⚠ Escolha o tema",IF(COUNTIF('1. Temas'!$C$8:$C$37,D825)=0,"⚠ Tema não cadastrado","✔ OK")))</f>
        <v/>
      </c>
    </row>
    <row r="826">
      <c r="B826" s="40" t="n"/>
      <c r="C826" s="41" t="n"/>
      <c r="D826" s="42" t="n"/>
      <c r="E826" s="42" t="n"/>
      <c r="F826" s="43">
        <f>IF(AND(B826="",D826=""),"",IF(D826="","⚠ Escolha o tema",IF(COUNTIF('1. Temas'!$C$8:$C$37,D826)=0,"⚠ Tema não cadastrado","✔ OK")))</f>
        <v/>
      </c>
    </row>
    <row r="827">
      <c r="B827" s="40" t="n"/>
      <c r="C827" s="41" t="n"/>
      <c r="D827" s="42" t="n"/>
      <c r="E827" s="42" t="n"/>
      <c r="F827" s="43">
        <f>IF(AND(B827="",D827=""),"",IF(D827="","⚠ Escolha o tema",IF(COUNTIF('1. Temas'!$C$8:$C$37,D827)=0,"⚠ Tema não cadastrado","✔ OK")))</f>
        <v/>
      </c>
    </row>
    <row r="828">
      <c r="B828" s="40" t="n"/>
      <c r="C828" s="41" t="n"/>
      <c r="D828" s="42" t="n"/>
      <c r="E828" s="42" t="n"/>
      <c r="F828" s="43">
        <f>IF(AND(B828="",D828=""),"",IF(D828="","⚠ Escolha o tema",IF(COUNTIF('1. Temas'!$C$8:$C$37,D828)=0,"⚠ Tema não cadastrado","✔ OK")))</f>
        <v/>
      </c>
    </row>
    <row r="829">
      <c r="B829" s="40" t="n"/>
      <c r="C829" s="41" t="n"/>
      <c r="D829" s="42" t="n"/>
      <c r="E829" s="42" t="n"/>
      <c r="F829" s="43">
        <f>IF(AND(B829="",D829=""),"",IF(D829="","⚠ Escolha o tema",IF(COUNTIF('1. Temas'!$C$8:$C$37,D829)=0,"⚠ Tema não cadastrado","✔ OK")))</f>
        <v/>
      </c>
    </row>
    <row r="830">
      <c r="B830" s="40" t="n"/>
      <c r="C830" s="41" t="n"/>
      <c r="D830" s="42" t="n"/>
      <c r="E830" s="42" t="n"/>
      <c r="F830" s="43">
        <f>IF(AND(B830="",D830=""),"",IF(D830="","⚠ Escolha o tema",IF(COUNTIF('1. Temas'!$C$8:$C$37,D830)=0,"⚠ Tema não cadastrado","✔ OK")))</f>
        <v/>
      </c>
    </row>
    <row r="831">
      <c r="B831" s="40" t="n"/>
      <c r="C831" s="41" t="n"/>
      <c r="D831" s="42" t="n"/>
      <c r="E831" s="42" t="n"/>
      <c r="F831" s="43">
        <f>IF(AND(B831="",D831=""),"",IF(D831="","⚠ Escolha o tema",IF(COUNTIF('1. Temas'!$C$8:$C$37,D831)=0,"⚠ Tema não cadastrado","✔ OK")))</f>
        <v/>
      </c>
    </row>
    <row r="832">
      <c r="B832" s="40" t="n"/>
      <c r="C832" s="41" t="n"/>
      <c r="D832" s="42" t="n"/>
      <c r="E832" s="42" t="n"/>
      <c r="F832" s="43">
        <f>IF(AND(B832="",D832=""),"",IF(D832="","⚠ Escolha o tema",IF(COUNTIF('1. Temas'!$C$8:$C$37,D832)=0,"⚠ Tema não cadastrado","✔ OK")))</f>
        <v/>
      </c>
    </row>
    <row r="833">
      <c r="B833" s="40" t="n"/>
      <c r="C833" s="41" t="n"/>
      <c r="D833" s="42" t="n"/>
      <c r="E833" s="42" t="n"/>
      <c r="F833" s="43">
        <f>IF(AND(B833="",D833=""),"",IF(D833="","⚠ Escolha o tema",IF(COUNTIF('1. Temas'!$C$8:$C$37,D833)=0,"⚠ Tema não cadastrado","✔ OK")))</f>
        <v/>
      </c>
    </row>
    <row r="834">
      <c r="B834" s="40" t="n"/>
      <c r="C834" s="41" t="n"/>
      <c r="D834" s="42" t="n"/>
      <c r="E834" s="42" t="n"/>
      <c r="F834" s="43">
        <f>IF(AND(B834="",D834=""),"",IF(D834="","⚠ Escolha o tema",IF(COUNTIF('1. Temas'!$C$8:$C$37,D834)=0,"⚠ Tema não cadastrado","✔ OK")))</f>
        <v/>
      </c>
    </row>
    <row r="835">
      <c r="B835" s="40" t="n"/>
      <c r="C835" s="41" t="n"/>
      <c r="D835" s="42" t="n"/>
      <c r="E835" s="42" t="n"/>
      <c r="F835" s="43">
        <f>IF(AND(B835="",D835=""),"",IF(D835="","⚠ Escolha o tema",IF(COUNTIF('1. Temas'!$C$8:$C$37,D835)=0,"⚠ Tema não cadastrado","✔ OK")))</f>
        <v/>
      </c>
    </row>
    <row r="836">
      <c r="B836" s="40" t="n"/>
      <c r="C836" s="41" t="n"/>
      <c r="D836" s="42" t="n"/>
      <c r="E836" s="42" t="n"/>
      <c r="F836" s="43">
        <f>IF(AND(B836="",D836=""),"",IF(D836="","⚠ Escolha o tema",IF(COUNTIF('1. Temas'!$C$8:$C$37,D836)=0,"⚠ Tema não cadastrado","✔ OK")))</f>
        <v/>
      </c>
    </row>
    <row r="837">
      <c r="B837" s="40" t="n"/>
      <c r="C837" s="41" t="n"/>
      <c r="D837" s="42" t="n"/>
      <c r="E837" s="42" t="n"/>
      <c r="F837" s="43">
        <f>IF(AND(B837="",D837=""),"",IF(D837="","⚠ Escolha o tema",IF(COUNTIF('1. Temas'!$C$8:$C$37,D837)=0,"⚠ Tema não cadastrado","✔ OK")))</f>
        <v/>
      </c>
    </row>
    <row r="838">
      <c r="B838" s="40" t="n"/>
      <c r="C838" s="41" t="n"/>
      <c r="D838" s="42" t="n"/>
      <c r="E838" s="42" t="n"/>
      <c r="F838" s="43">
        <f>IF(AND(B838="",D838=""),"",IF(D838="","⚠ Escolha o tema",IF(COUNTIF('1. Temas'!$C$8:$C$37,D838)=0,"⚠ Tema não cadastrado","✔ OK")))</f>
        <v/>
      </c>
    </row>
    <row r="839">
      <c r="B839" s="40" t="n"/>
      <c r="C839" s="41" t="n"/>
      <c r="D839" s="42" t="n"/>
      <c r="E839" s="42" t="n"/>
      <c r="F839" s="43">
        <f>IF(AND(B839="",D839=""),"",IF(D839="","⚠ Escolha o tema",IF(COUNTIF('1. Temas'!$C$8:$C$37,D839)=0,"⚠ Tema não cadastrado","✔ OK")))</f>
        <v/>
      </c>
    </row>
    <row r="840">
      <c r="B840" s="40" t="n"/>
      <c r="C840" s="41" t="n"/>
      <c r="D840" s="42" t="n"/>
      <c r="E840" s="42" t="n"/>
      <c r="F840" s="43">
        <f>IF(AND(B840="",D840=""),"",IF(D840="","⚠ Escolha o tema",IF(COUNTIF('1. Temas'!$C$8:$C$37,D840)=0,"⚠ Tema não cadastrado","✔ OK")))</f>
        <v/>
      </c>
    </row>
    <row r="841">
      <c r="B841" s="40" t="n"/>
      <c r="C841" s="41" t="n"/>
      <c r="D841" s="42" t="n"/>
      <c r="E841" s="42" t="n"/>
      <c r="F841" s="43">
        <f>IF(AND(B841="",D841=""),"",IF(D841="","⚠ Escolha o tema",IF(COUNTIF('1. Temas'!$C$8:$C$37,D841)=0,"⚠ Tema não cadastrado","✔ OK")))</f>
        <v/>
      </c>
    </row>
    <row r="842">
      <c r="B842" s="40" t="n"/>
      <c r="C842" s="41" t="n"/>
      <c r="D842" s="42" t="n"/>
      <c r="E842" s="42" t="n"/>
      <c r="F842" s="43">
        <f>IF(AND(B842="",D842=""),"",IF(D842="","⚠ Escolha o tema",IF(COUNTIF('1. Temas'!$C$8:$C$37,D842)=0,"⚠ Tema não cadastrado","✔ OK")))</f>
        <v/>
      </c>
    </row>
    <row r="843">
      <c r="B843" s="40" t="n"/>
      <c r="C843" s="41" t="n"/>
      <c r="D843" s="42" t="n"/>
      <c r="E843" s="42" t="n"/>
      <c r="F843" s="43">
        <f>IF(AND(B843="",D843=""),"",IF(D843="","⚠ Escolha o tema",IF(COUNTIF('1. Temas'!$C$8:$C$37,D843)=0,"⚠ Tema não cadastrado","✔ OK")))</f>
        <v/>
      </c>
    </row>
    <row r="844">
      <c r="B844" s="40" t="n"/>
      <c r="C844" s="41" t="n"/>
      <c r="D844" s="42" t="n"/>
      <c r="E844" s="42" t="n"/>
      <c r="F844" s="43">
        <f>IF(AND(B844="",D844=""),"",IF(D844="","⚠ Escolha o tema",IF(COUNTIF('1. Temas'!$C$8:$C$37,D844)=0,"⚠ Tema não cadastrado","✔ OK")))</f>
        <v/>
      </c>
    </row>
    <row r="845">
      <c r="B845" s="40" t="n"/>
      <c r="C845" s="41" t="n"/>
      <c r="D845" s="42" t="n"/>
      <c r="E845" s="42" t="n"/>
      <c r="F845" s="43">
        <f>IF(AND(B845="",D845=""),"",IF(D845="","⚠ Escolha o tema",IF(COUNTIF('1. Temas'!$C$8:$C$37,D845)=0,"⚠ Tema não cadastrado","✔ OK")))</f>
        <v/>
      </c>
    </row>
    <row r="846">
      <c r="B846" s="40" t="n"/>
      <c r="C846" s="41" t="n"/>
      <c r="D846" s="42" t="n"/>
      <c r="E846" s="42" t="n"/>
      <c r="F846" s="43">
        <f>IF(AND(B846="",D846=""),"",IF(D846="","⚠ Escolha o tema",IF(COUNTIF('1. Temas'!$C$8:$C$37,D846)=0,"⚠ Tema não cadastrado","✔ OK")))</f>
        <v/>
      </c>
    </row>
    <row r="847">
      <c r="B847" s="40" t="n"/>
      <c r="C847" s="41" t="n"/>
      <c r="D847" s="42" t="n"/>
      <c r="E847" s="42" t="n"/>
      <c r="F847" s="43">
        <f>IF(AND(B847="",D847=""),"",IF(D847="","⚠ Escolha o tema",IF(COUNTIF('1. Temas'!$C$8:$C$37,D847)=0,"⚠ Tema não cadastrado","✔ OK")))</f>
        <v/>
      </c>
    </row>
    <row r="848">
      <c r="B848" s="40" t="n"/>
      <c r="C848" s="41" t="n"/>
      <c r="D848" s="42" t="n"/>
      <c r="E848" s="42" t="n"/>
      <c r="F848" s="43">
        <f>IF(AND(B848="",D848=""),"",IF(D848="","⚠ Escolha o tema",IF(COUNTIF('1. Temas'!$C$8:$C$37,D848)=0,"⚠ Tema não cadastrado","✔ OK")))</f>
        <v/>
      </c>
    </row>
    <row r="849">
      <c r="B849" s="40" t="n"/>
      <c r="C849" s="41" t="n"/>
      <c r="D849" s="42" t="n"/>
      <c r="E849" s="42" t="n"/>
      <c r="F849" s="43">
        <f>IF(AND(B849="",D849=""),"",IF(D849="","⚠ Escolha o tema",IF(COUNTIF('1. Temas'!$C$8:$C$37,D849)=0,"⚠ Tema não cadastrado","✔ OK")))</f>
        <v/>
      </c>
    </row>
    <row r="850">
      <c r="B850" s="40" t="n"/>
      <c r="C850" s="41" t="n"/>
      <c r="D850" s="42" t="n"/>
      <c r="E850" s="42" t="n"/>
      <c r="F850" s="43">
        <f>IF(AND(B850="",D850=""),"",IF(D850="","⚠ Escolha o tema",IF(COUNTIF('1. Temas'!$C$8:$C$37,D850)=0,"⚠ Tema não cadastrado","✔ OK")))</f>
        <v/>
      </c>
    </row>
    <row r="851">
      <c r="B851" s="40" t="n"/>
      <c r="C851" s="41" t="n"/>
      <c r="D851" s="42" t="n"/>
      <c r="E851" s="42" t="n"/>
      <c r="F851" s="43">
        <f>IF(AND(B851="",D851=""),"",IF(D851="","⚠ Escolha o tema",IF(COUNTIF('1. Temas'!$C$8:$C$37,D851)=0,"⚠ Tema não cadastrado","✔ OK")))</f>
        <v/>
      </c>
    </row>
    <row r="852">
      <c r="B852" s="40" t="n"/>
      <c r="C852" s="41" t="n"/>
      <c r="D852" s="42" t="n"/>
      <c r="E852" s="42" t="n"/>
      <c r="F852" s="43">
        <f>IF(AND(B852="",D852=""),"",IF(D852="","⚠ Escolha o tema",IF(COUNTIF('1. Temas'!$C$8:$C$37,D852)=0,"⚠ Tema não cadastrado","✔ OK")))</f>
        <v/>
      </c>
    </row>
    <row r="853">
      <c r="B853" s="40" t="n"/>
      <c r="C853" s="41" t="n"/>
      <c r="D853" s="42" t="n"/>
      <c r="E853" s="42" t="n"/>
      <c r="F853" s="43">
        <f>IF(AND(B853="",D853=""),"",IF(D853="","⚠ Escolha o tema",IF(COUNTIF('1. Temas'!$C$8:$C$37,D853)=0,"⚠ Tema não cadastrado","✔ OK")))</f>
        <v/>
      </c>
    </row>
    <row r="854">
      <c r="B854" s="40" t="n"/>
      <c r="C854" s="41" t="n"/>
      <c r="D854" s="42" t="n"/>
      <c r="E854" s="42" t="n"/>
      <c r="F854" s="43">
        <f>IF(AND(B854="",D854=""),"",IF(D854="","⚠ Escolha o tema",IF(COUNTIF('1. Temas'!$C$8:$C$37,D854)=0,"⚠ Tema não cadastrado","✔ OK")))</f>
        <v/>
      </c>
    </row>
    <row r="855">
      <c r="B855" s="40" t="n"/>
      <c r="C855" s="41" t="n"/>
      <c r="D855" s="42" t="n"/>
      <c r="E855" s="42" t="n"/>
      <c r="F855" s="43">
        <f>IF(AND(B855="",D855=""),"",IF(D855="","⚠ Escolha o tema",IF(COUNTIF('1. Temas'!$C$8:$C$37,D855)=0,"⚠ Tema não cadastrado","✔ OK")))</f>
        <v/>
      </c>
    </row>
    <row r="856">
      <c r="B856" s="40" t="n"/>
      <c r="C856" s="41" t="n"/>
      <c r="D856" s="42" t="n"/>
      <c r="E856" s="42" t="n"/>
      <c r="F856" s="43">
        <f>IF(AND(B856="",D856=""),"",IF(D856="","⚠ Escolha o tema",IF(COUNTIF('1. Temas'!$C$8:$C$37,D856)=0,"⚠ Tema não cadastrado","✔ OK")))</f>
        <v/>
      </c>
    </row>
    <row r="857">
      <c r="B857" s="40" t="n"/>
      <c r="C857" s="41" t="n"/>
      <c r="D857" s="42" t="n"/>
      <c r="E857" s="42" t="n"/>
      <c r="F857" s="43">
        <f>IF(AND(B857="",D857=""),"",IF(D857="","⚠ Escolha o tema",IF(COUNTIF('1. Temas'!$C$8:$C$37,D857)=0,"⚠ Tema não cadastrado","✔ OK")))</f>
        <v/>
      </c>
    </row>
    <row r="858">
      <c r="B858" s="40" t="n"/>
      <c r="C858" s="41" t="n"/>
      <c r="D858" s="42" t="n"/>
      <c r="E858" s="42" t="n"/>
      <c r="F858" s="43">
        <f>IF(AND(B858="",D858=""),"",IF(D858="","⚠ Escolha o tema",IF(COUNTIF('1. Temas'!$C$8:$C$37,D858)=0,"⚠ Tema não cadastrado","✔ OK")))</f>
        <v/>
      </c>
    </row>
    <row r="859">
      <c r="B859" s="40" t="n"/>
      <c r="C859" s="41" t="n"/>
      <c r="D859" s="42" t="n"/>
      <c r="E859" s="42" t="n"/>
      <c r="F859" s="43">
        <f>IF(AND(B859="",D859=""),"",IF(D859="","⚠ Escolha o tema",IF(COUNTIF('1. Temas'!$C$8:$C$37,D859)=0,"⚠ Tema não cadastrado","✔ OK")))</f>
        <v/>
      </c>
    </row>
    <row r="860">
      <c r="B860" s="40" t="n"/>
      <c r="C860" s="41" t="n"/>
      <c r="D860" s="42" t="n"/>
      <c r="E860" s="42" t="n"/>
      <c r="F860" s="43">
        <f>IF(AND(B860="",D860=""),"",IF(D860="","⚠ Escolha o tema",IF(COUNTIF('1. Temas'!$C$8:$C$37,D860)=0,"⚠ Tema não cadastrado","✔ OK")))</f>
        <v/>
      </c>
    </row>
    <row r="861">
      <c r="B861" s="40" t="n"/>
      <c r="C861" s="41" t="n"/>
      <c r="D861" s="42" t="n"/>
      <c r="E861" s="42" t="n"/>
      <c r="F861" s="43">
        <f>IF(AND(B861="",D861=""),"",IF(D861="","⚠ Escolha o tema",IF(COUNTIF('1. Temas'!$C$8:$C$37,D861)=0,"⚠ Tema não cadastrado","✔ OK")))</f>
        <v/>
      </c>
    </row>
    <row r="862">
      <c r="B862" s="40" t="n"/>
      <c r="C862" s="41" t="n"/>
      <c r="D862" s="42" t="n"/>
      <c r="E862" s="42" t="n"/>
      <c r="F862" s="43">
        <f>IF(AND(B862="",D862=""),"",IF(D862="","⚠ Escolha o tema",IF(COUNTIF('1. Temas'!$C$8:$C$37,D862)=0,"⚠ Tema não cadastrado","✔ OK")))</f>
        <v/>
      </c>
    </row>
    <row r="863">
      <c r="B863" s="40" t="n"/>
      <c r="C863" s="41" t="n"/>
      <c r="D863" s="42" t="n"/>
      <c r="E863" s="42" t="n"/>
      <c r="F863" s="43">
        <f>IF(AND(B863="",D863=""),"",IF(D863="","⚠ Escolha o tema",IF(COUNTIF('1. Temas'!$C$8:$C$37,D863)=0,"⚠ Tema não cadastrado","✔ OK")))</f>
        <v/>
      </c>
    </row>
    <row r="864">
      <c r="B864" s="40" t="n"/>
      <c r="C864" s="41" t="n"/>
      <c r="D864" s="42" t="n"/>
      <c r="E864" s="42" t="n"/>
      <c r="F864" s="43">
        <f>IF(AND(B864="",D864=""),"",IF(D864="","⚠ Escolha o tema",IF(COUNTIF('1. Temas'!$C$8:$C$37,D864)=0,"⚠ Tema não cadastrado","✔ OK")))</f>
        <v/>
      </c>
    </row>
    <row r="865">
      <c r="B865" s="40" t="n"/>
      <c r="C865" s="41" t="n"/>
      <c r="D865" s="42" t="n"/>
      <c r="E865" s="42" t="n"/>
      <c r="F865" s="43">
        <f>IF(AND(B865="",D865=""),"",IF(D865="","⚠ Escolha o tema",IF(COUNTIF('1. Temas'!$C$8:$C$37,D865)=0,"⚠ Tema não cadastrado","✔ OK")))</f>
        <v/>
      </c>
    </row>
    <row r="866">
      <c r="B866" s="40" t="n"/>
      <c r="C866" s="41" t="n"/>
      <c r="D866" s="42" t="n"/>
      <c r="E866" s="42" t="n"/>
      <c r="F866" s="43">
        <f>IF(AND(B866="",D866=""),"",IF(D866="","⚠ Escolha o tema",IF(COUNTIF('1. Temas'!$C$8:$C$37,D866)=0,"⚠ Tema não cadastrado","✔ OK")))</f>
        <v/>
      </c>
    </row>
    <row r="867">
      <c r="B867" s="40" t="n"/>
      <c r="C867" s="41" t="n"/>
      <c r="D867" s="42" t="n"/>
      <c r="E867" s="42" t="n"/>
      <c r="F867" s="43">
        <f>IF(AND(B867="",D867=""),"",IF(D867="","⚠ Escolha o tema",IF(COUNTIF('1. Temas'!$C$8:$C$37,D867)=0,"⚠ Tema não cadastrado","✔ OK")))</f>
        <v/>
      </c>
    </row>
    <row r="868">
      <c r="B868" s="40" t="n"/>
      <c r="C868" s="41" t="n"/>
      <c r="D868" s="42" t="n"/>
      <c r="E868" s="42" t="n"/>
      <c r="F868" s="43">
        <f>IF(AND(B868="",D868=""),"",IF(D868="","⚠ Escolha o tema",IF(COUNTIF('1. Temas'!$C$8:$C$37,D868)=0,"⚠ Tema não cadastrado","✔ OK")))</f>
        <v/>
      </c>
    </row>
    <row r="869">
      <c r="B869" s="40" t="n"/>
      <c r="C869" s="41" t="n"/>
      <c r="D869" s="42" t="n"/>
      <c r="E869" s="42" t="n"/>
      <c r="F869" s="43">
        <f>IF(AND(B869="",D869=""),"",IF(D869="","⚠ Escolha o tema",IF(COUNTIF('1. Temas'!$C$8:$C$37,D869)=0,"⚠ Tema não cadastrado","✔ OK")))</f>
        <v/>
      </c>
    </row>
    <row r="870">
      <c r="B870" s="40" t="n"/>
      <c r="C870" s="41" t="n"/>
      <c r="D870" s="42" t="n"/>
      <c r="E870" s="42" t="n"/>
      <c r="F870" s="43">
        <f>IF(AND(B870="",D870=""),"",IF(D870="","⚠ Escolha o tema",IF(COUNTIF('1. Temas'!$C$8:$C$37,D870)=0,"⚠ Tema não cadastrado","✔ OK")))</f>
        <v/>
      </c>
    </row>
    <row r="871">
      <c r="B871" s="40" t="n"/>
      <c r="C871" s="41" t="n"/>
      <c r="D871" s="42" t="n"/>
      <c r="E871" s="42" t="n"/>
      <c r="F871" s="43">
        <f>IF(AND(B871="",D871=""),"",IF(D871="","⚠ Escolha o tema",IF(COUNTIF('1. Temas'!$C$8:$C$37,D871)=0,"⚠ Tema não cadastrado","✔ OK")))</f>
        <v/>
      </c>
    </row>
    <row r="872">
      <c r="B872" s="40" t="n"/>
      <c r="C872" s="41" t="n"/>
      <c r="D872" s="42" t="n"/>
      <c r="E872" s="42" t="n"/>
      <c r="F872" s="43">
        <f>IF(AND(B872="",D872=""),"",IF(D872="","⚠ Escolha o tema",IF(COUNTIF('1. Temas'!$C$8:$C$37,D872)=0,"⚠ Tema não cadastrado","✔ OK")))</f>
        <v/>
      </c>
    </row>
    <row r="873">
      <c r="B873" s="40" t="n"/>
      <c r="C873" s="41" t="n"/>
      <c r="D873" s="42" t="n"/>
      <c r="E873" s="42" t="n"/>
      <c r="F873" s="43">
        <f>IF(AND(B873="",D873=""),"",IF(D873="","⚠ Escolha o tema",IF(COUNTIF('1. Temas'!$C$8:$C$37,D873)=0,"⚠ Tema não cadastrado","✔ OK")))</f>
        <v/>
      </c>
    </row>
    <row r="874">
      <c r="B874" s="40" t="n"/>
      <c r="C874" s="41" t="n"/>
      <c r="D874" s="42" t="n"/>
      <c r="E874" s="42" t="n"/>
      <c r="F874" s="43">
        <f>IF(AND(B874="",D874=""),"",IF(D874="","⚠ Escolha o tema",IF(COUNTIF('1. Temas'!$C$8:$C$37,D874)=0,"⚠ Tema não cadastrado","✔ OK")))</f>
        <v/>
      </c>
    </row>
    <row r="875">
      <c r="B875" s="40" t="n"/>
      <c r="C875" s="41" t="n"/>
      <c r="D875" s="42" t="n"/>
      <c r="E875" s="42" t="n"/>
      <c r="F875" s="43">
        <f>IF(AND(B875="",D875=""),"",IF(D875="","⚠ Escolha o tema",IF(COUNTIF('1. Temas'!$C$8:$C$37,D875)=0,"⚠ Tema não cadastrado","✔ OK")))</f>
        <v/>
      </c>
    </row>
    <row r="876">
      <c r="B876" s="40" t="n"/>
      <c r="C876" s="41" t="n"/>
      <c r="D876" s="42" t="n"/>
      <c r="E876" s="42" t="n"/>
      <c r="F876" s="43">
        <f>IF(AND(B876="",D876=""),"",IF(D876="","⚠ Escolha o tema",IF(COUNTIF('1. Temas'!$C$8:$C$37,D876)=0,"⚠ Tema não cadastrado","✔ OK")))</f>
        <v/>
      </c>
    </row>
    <row r="877">
      <c r="B877" s="40" t="n"/>
      <c r="C877" s="41" t="n"/>
      <c r="D877" s="42" t="n"/>
      <c r="E877" s="42" t="n"/>
      <c r="F877" s="43">
        <f>IF(AND(B877="",D877=""),"",IF(D877="","⚠ Escolha o tema",IF(COUNTIF('1. Temas'!$C$8:$C$37,D877)=0,"⚠ Tema não cadastrado","✔ OK")))</f>
        <v/>
      </c>
    </row>
    <row r="878">
      <c r="B878" s="40" t="n"/>
      <c r="C878" s="41" t="n"/>
      <c r="D878" s="42" t="n"/>
      <c r="E878" s="42" t="n"/>
      <c r="F878" s="43">
        <f>IF(AND(B878="",D878=""),"",IF(D878="","⚠ Escolha o tema",IF(COUNTIF('1. Temas'!$C$8:$C$37,D878)=0,"⚠ Tema não cadastrado","✔ OK")))</f>
        <v/>
      </c>
    </row>
    <row r="879">
      <c r="B879" s="40" t="n"/>
      <c r="C879" s="41" t="n"/>
      <c r="D879" s="42" t="n"/>
      <c r="E879" s="42" t="n"/>
      <c r="F879" s="43">
        <f>IF(AND(B879="",D879=""),"",IF(D879="","⚠ Escolha o tema",IF(COUNTIF('1. Temas'!$C$8:$C$37,D879)=0,"⚠ Tema não cadastrado","✔ OK")))</f>
        <v/>
      </c>
    </row>
    <row r="880">
      <c r="B880" s="40" t="n"/>
      <c r="C880" s="41" t="n"/>
      <c r="D880" s="42" t="n"/>
      <c r="E880" s="42" t="n"/>
      <c r="F880" s="43">
        <f>IF(AND(B880="",D880=""),"",IF(D880="","⚠ Escolha o tema",IF(COUNTIF('1. Temas'!$C$8:$C$37,D880)=0,"⚠ Tema não cadastrado","✔ OK")))</f>
        <v/>
      </c>
    </row>
    <row r="881">
      <c r="B881" s="40" t="n"/>
      <c r="C881" s="41" t="n"/>
      <c r="D881" s="42" t="n"/>
      <c r="E881" s="42" t="n"/>
      <c r="F881" s="43">
        <f>IF(AND(B881="",D881=""),"",IF(D881="","⚠ Escolha o tema",IF(COUNTIF('1. Temas'!$C$8:$C$37,D881)=0,"⚠ Tema não cadastrado","✔ OK")))</f>
        <v/>
      </c>
    </row>
    <row r="882">
      <c r="B882" s="40" t="n"/>
      <c r="C882" s="41" t="n"/>
      <c r="D882" s="42" t="n"/>
      <c r="E882" s="42" t="n"/>
      <c r="F882" s="43">
        <f>IF(AND(B882="",D882=""),"",IF(D882="","⚠ Escolha o tema",IF(COUNTIF('1. Temas'!$C$8:$C$37,D882)=0,"⚠ Tema não cadastrado","✔ OK")))</f>
        <v/>
      </c>
    </row>
    <row r="883">
      <c r="B883" s="40" t="n"/>
      <c r="C883" s="41" t="n"/>
      <c r="D883" s="42" t="n"/>
      <c r="E883" s="42" t="n"/>
      <c r="F883" s="43">
        <f>IF(AND(B883="",D883=""),"",IF(D883="","⚠ Escolha o tema",IF(COUNTIF('1. Temas'!$C$8:$C$37,D883)=0,"⚠ Tema não cadastrado","✔ OK")))</f>
        <v/>
      </c>
    </row>
    <row r="884">
      <c r="B884" s="40" t="n"/>
      <c r="C884" s="41" t="n"/>
      <c r="D884" s="42" t="n"/>
      <c r="E884" s="42" t="n"/>
      <c r="F884" s="43">
        <f>IF(AND(B884="",D884=""),"",IF(D884="","⚠ Escolha o tema",IF(COUNTIF('1. Temas'!$C$8:$C$37,D884)=0,"⚠ Tema não cadastrado","✔ OK")))</f>
        <v/>
      </c>
    </row>
    <row r="885">
      <c r="B885" s="40" t="n"/>
      <c r="C885" s="41" t="n"/>
      <c r="D885" s="42" t="n"/>
      <c r="E885" s="42" t="n"/>
      <c r="F885" s="43">
        <f>IF(AND(B885="",D885=""),"",IF(D885="","⚠ Escolha o tema",IF(COUNTIF('1. Temas'!$C$8:$C$37,D885)=0,"⚠ Tema não cadastrado","✔ OK")))</f>
        <v/>
      </c>
    </row>
    <row r="886">
      <c r="B886" s="40" t="n"/>
      <c r="C886" s="41" t="n"/>
      <c r="D886" s="42" t="n"/>
      <c r="E886" s="42" t="n"/>
      <c r="F886" s="43">
        <f>IF(AND(B886="",D886=""),"",IF(D886="","⚠ Escolha o tema",IF(COUNTIF('1. Temas'!$C$8:$C$37,D886)=0,"⚠ Tema não cadastrado","✔ OK")))</f>
        <v/>
      </c>
    </row>
    <row r="887">
      <c r="B887" s="40" t="n"/>
      <c r="C887" s="41" t="n"/>
      <c r="D887" s="42" t="n"/>
      <c r="E887" s="42" t="n"/>
      <c r="F887" s="43">
        <f>IF(AND(B887="",D887=""),"",IF(D887="","⚠ Escolha o tema",IF(COUNTIF('1. Temas'!$C$8:$C$37,D887)=0,"⚠ Tema não cadastrado","✔ OK")))</f>
        <v/>
      </c>
    </row>
    <row r="888">
      <c r="B888" s="40" t="n"/>
      <c r="C888" s="41" t="n"/>
      <c r="D888" s="42" t="n"/>
      <c r="E888" s="42" t="n"/>
      <c r="F888" s="43">
        <f>IF(AND(B888="",D888=""),"",IF(D888="","⚠ Escolha o tema",IF(COUNTIF('1. Temas'!$C$8:$C$37,D888)=0,"⚠ Tema não cadastrado","✔ OK")))</f>
        <v/>
      </c>
    </row>
    <row r="889">
      <c r="B889" s="40" t="n"/>
      <c r="C889" s="41" t="n"/>
      <c r="D889" s="42" t="n"/>
      <c r="E889" s="42" t="n"/>
      <c r="F889" s="43">
        <f>IF(AND(B889="",D889=""),"",IF(D889="","⚠ Escolha o tema",IF(COUNTIF('1. Temas'!$C$8:$C$37,D889)=0,"⚠ Tema não cadastrado","✔ OK")))</f>
        <v/>
      </c>
    </row>
    <row r="890">
      <c r="B890" s="40" t="n"/>
      <c r="C890" s="41" t="n"/>
      <c r="D890" s="42" t="n"/>
      <c r="E890" s="42" t="n"/>
      <c r="F890" s="43">
        <f>IF(AND(B890="",D890=""),"",IF(D890="","⚠ Escolha o tema",IF(COUNTIF('1. Temas'!$C$8:$C$37,D890)=0,"⚠ Tema não cadastrado","✔ OK")))</f>
        <v/>
      </c>
    </row>
    <row r="891">
      <c r="B891" s="40" t="n"/>
      <c r="C891" s="41" t="n"/>
      <c r="D891" s="42" t="n"/>
      <c r="E891" s="42" t="n"/>
      <c r="F891" s="43">
        <f>IF(AND(B891="",D891=""),"",IF(D891="","⚠ Escolha o tema",IF(COUNTIF('1. Temas'!$C$8:$C$37,D891)=0,"⚠ Tema não cadastrado","✔ OK")))</f>
        <v/>
      </c>
    </row>
    <row r="892">
      <c r="B892" s="40" t="n"/>
      <c r="C892" s="41" t="n"/>
      <c r="D892" s="42" t="n"/>
      <c r="E892" s="42" t="n"/>
      <c r="F892" s="43">
        <f>IF(AND(B892="",D892=""),"",IF(D892="","⚠ Escolha o tema",IF(COUNTIF('1. Temas'!$C$8:$C$37,D892)=0,"⚠ Tema não cadastrado","✔ OK")))</f>
        <v/>
      </c>
    </row>
    <row r="893">
      <c r="B893" s="40" t="n"/>
      <c r="C893" s="41" t="n"/>
      <c r="D893" s="42" t="n"/>
      <c r="E893" s="42" t="n"/>
      <c r="F893" s="43">
        <f>IF(AND(B893="",D893=""),"",IF(D893="","⚠ Escolha o tema",IF(COUNTIF('1. Temas'!$C$8:$C$37,D893)=0,"⚠ Tema não cadastrado","✔ OK")))</f>
        <v/>
      </c>
    </row>
    <row r="894">
      <c r="B894" s="40" t="n"/>
      <c r="C894" s="41" t="n"/>
      <c r="D894" s="42" t="n"/>
      <c r="E894" s="42" t="n"/>
      <c r="F894" s="43">
        <f>IF(AND(B894="",D894=""),"",IF(D894="","⚠ Escolha o tema",IF(COUNTIF('1. Temas'!$C$8:$C$37,D894)=0,"⚠ Tema não cadastrado","✔ OK")))</f>
        <v/>
      </c>
    </row>
    <row r="895">
      <c r="B895" s="40" t="n"/>
      <c r="C895" s="41" t="n"/>
      <c r="D895" s="42" t="n"/>
      <c r="E895" s="42" t="n"/>
      <c r="F895" s="43">
        <f>IF(AND(B895="",D895=""),"",IF(D895="","⚠ Escolha o tema",IF(COUNTIF('1. Temas'!$C$8:$C$37,D895)=0,"⚠ Tema não cadastrado","✔ OK")))</f>
        <v/>
      </c>
    </row>
    <row r="896">
      <c r="B896" s="40" t="n"/>
      <c r="C896" s="41" t="n"/>
      <c r="D896" s="42" t="n"/>
      <c r="E896" s="42" t="n"/>
      <c r="F896" s="43">
        <f>IF(AND(B896="",D896=""),"",IF(D896="","⚠ Escolha o tema",IF(COUNTIF('1. Temas'!$C$8:$C$37,D896)=0,"⚠ Tema não cadastrado","✔ OK")))</f>
        <v/>
      </c>
    </row>
    <row r="897">
      <c r="B897" s="40" t="n"/>
      <c r="C897" s="41" t="n"/>
      <c r="D897" s="42" t="n"/>
      <c r="E897" s="42" t="n"/>
      <c r="F897" s="43">
        <f>IF(AND(B897="",D897=""),"",IF(D897="","⚠ Escolha o tema",IF(COUNTIF('1. Temas'!$C$8:$C$37,D897)=0,"⚠ Tema não cadastrado","✔ OK")))</f>
        <v/>
      </c>
    </row>
    <row r="898">
      <c r="B898" s="40" t="n"/>
      <c r="C898" s="41" t="n"/>
      <c r="D898" s="42" t="n"/>
      <c r="E898" s="42" t="n"/>
      <c r="F898" s="43">
        <f>IF(AND(B898="",D898=""),"",IF(D898="","⚠ Escolha o tema",IF(COUNTIF('1. Temas'!$C$8:$C$37,D898)=0,"⚠ Tema não cadastrado","✔ OK")))</f>
        <v/>
      </c>
    </row>
    <row r="899">
      <c r="B899" s="40" t="n"/>
      <c r="C899" s="41" t="n"/>
      <c r="D899" s="42" t="n"/>
      <c r="E899" s="42" t="n"/>
      <c r="F899" s="43">
        <f>IF(AND(B899="",D899=""),"",IF(D899="","⚠ Escolha o tema",IF(COUNTIF('1. Temas'!$C$8:$C$37,D899)=0,"⚠ Tema não cadastrado","✔ OK")))</f>
        <v/>
      </c>
    </row>
    <row r="900">
      <c r="B900" s="40" t="n"/>
      <c r="C900" s="41" t="n"/>
      <c r="D900" s="42" t="n"/>
      <c r="E900" s="42" t="n"/>
      <c r="F900" s="43">
        <f>IF(AND(B900="",D900=""),"",IF(D900="","⚠ Escolha o tema",IF(COUNTIF('1. Temas'!$C$8:$C$37,D900)=0,"⚠ Tema não cadastrado","✔ OK")))</f>
        <v/>
      </c>
    </row>
    <row r="901">
      <c r="B901" s="40" t="n"/>
      <c r="C901" s="41" t="n"/>
      <c r="D901" s="42" t="n"/>
      <c r="E901" s="42" t="n"/>
      <c r="F901" s="43">
        <f>IF(AND(B901="",D901=""),"",IF(D901="","⚠ Escolha o tema",IF(COUNTIF('1. Temas'!$C$8:$C$37,D901)=0,"⚠ Tema não cadastrado","✔ OK")))</f>
        <v/>
      </c>
    </row>
    <row r="902">
      <c r="B902" s="40" t="n"/>
      <c r="C902" s="41" t="n"/>
      <c r="D902" s="42" t="n"/>
      <c r="E902" s="42" t="n"/>
      <c r="F902" s="43">
        <f>IF(AND(B902="",D902=""),"",IF(D902="","⚠ Escolha o tema",IF(COUNTIF('1. Temas'!$C$8:$C$37,D902)=0,"⚠ Tema não cadastrado","✔ OK")))</f>
        <v/>
      </c>
    </row>
    <row r="903">
      <c r="B903" s="40" t="n"/>
      <c r="C903" s="41" t="n"/>
      <c r="D903" s="42" t="n"/>
      <c r="E903" s="42" t="n"/>
      <c r="F903" s="43">
        <f>IF(AND(B903="",D903=""),"",IF(D903="","⚠ Escolha o tema",IF(COUNTIF('1. Temas'!$C$8:$C$37,D903)=0,"⚠ Tema não cadastrado","✔ OK")))</f>
        <v/>
      </c>
    </row>
    <row r="904">
      <c r="B904" s="40" t="n"/>
      <c r="C904" s="41" t="n"/>
      <c r="D904" s="42" t="n"/>
      <c r="E904" s="42" t="n"/>
      <c r="F904" s="43">
        <f>IF(AND(B904="",D904=""),"",IF(D904="","⚠ Escolha o tema",IF(COUNTIF('1. Temas'!$C$8:$C$37,D904)=0,"⚠ Tema não cadastrado","✔ OK")))</f>
        <v/>
      </c>
    </row>
    <row r="905">
      <c r="B905" s="40" t="n"/>
      <c r="C905" s="41" t="n"/>
      <c r="D905" s="42" t="n"/>
      <c r="E905" s="42" t="n"/>
      <c r="F905" s="43">
        <f>IF(AND(B905="",D905=""),"",IF(D905="","⚠ Escolha o tema",IF(COUNTIF('1. Temas'!$C$8:$C$37,D905)=0,"⚠ Tema não cadastrado","✔ OK")))</f>
        <v/>
      </c>
    </row>
    <row r="906">
      <c r="B906" s="40" t="n"/>
      <c r="C906" s="41" t="n"/>
      <c r="D906" s="42" t="n"/>
      <c r="E906" s="42" t="n"/>
      <c r="F906" s="43">
        <f>IF(AND(B906="",D906=""),"",IF(D906="","⚠ Escolha o tema",IF(COUNTIF('1. Temas'!$C$8:$C$37,D906)=0,"⚠ Tema não cadastrado","✔ OK")))</f>
        <v/>
      </c>
    </row>
    <row r="907">
      <c r="B907" s="40" t="n"/>
      <c r="C907" s="41" t="n"/>
      <c r="D907" s="42" t="n"/>
      <c r="E907" s="42" t="n"/>
      <c r="F907" s="43">
        <f>IF(AND(B907="",D907=""),"",IF(D907="","⚠ Escolha o tema",IF(COUNTIF('1. Temas'!$C$8:$C$37,D907)=0,"⚠ Tema não cadastrado","✔ OK")))</f>
        <v/>
      </c>
    </row>
    <row r="908">
      <c r="B908" s="40" t="n"/>
      <c r="C908" s="41" t="n"/>
      <c r="D908" s="42" t="n"/>
      <c r="E908" s="42" t="n"/>
      <c r="F908" s="43">
        <f>IF(AND(B908="",D908=""),"",IF(D908="","⚠ Escolha o tema",IF(COUNTIF('1. Temas'!$C$8:$C$37,D908)=0,"⚠ Tema não cadastrado","✔ OK")))</f>
        <v/>
      </c>
    </row>
    <row r="909">
      <c r="B909" s="40" t="n"/>
      <c r="C909" s="41" t="n"/>
      <c r="D909" s="42" t="n"/>
      <c r="E909" s="42" t="n"/>
      <c r="F909" s="43">
        <f>IF(AND(B909="",D909=""),"",IF(D909="","⚠ Escolha o tema",IF(COUNTIF('1. Temas'!$C$8:$C$37,D909)=0,"⚠ Tema não cadastrado","✔ OK")))</f>
        <v/>
      </c>
    </row>
    <row r="910">
      <c r="B910" s="40" t="n"/>
      <c r="C910" s="41" t="n"/>
      <c r="D910" s="42" t="n"/>
      <c r="E910" s="42" t="n"/>
      <c r="F910" s="43">
        <f>IF(AND(B910="",D910=""),"",IF(D910="","⚠ Escolha o tema",IF(COUNTIF('1. Temas'!$C$8:$C$37,D910)=0,"⚠ Tema não cadastrado","✔ OK")))</f>
        <v/>
      </c>
    </row>
    <row r="911">
      <c r="B911" s="40" t="n"/>
      <c r="C911" s="41" t="n"/>
      <c r="D911" s="42" t="n"/>
      <c r="E911" s="42" t="n"/>
      <c r="F911" s="43">
        <f>IF(AND(B911="",D911=""),"",IF(D911="","⚠ Escolha o tema",IF(COUNTIF('1. Temas'!$C$8:$C$37,D911)=0,"⚠ Tema não cadastrado","✔ OK")))</f>
        <v/>
      </c>
    </row>
    <row r="912">
      <c r="B912" s="40" t="n"/>
      <c r="C912" s="41" t="n"/>
      <c r="D912" s="42" t="n"/>
      <c r="E912" s="42" t="n"/>
      <c r="F912" s="43">
        <f>IF(AND(B912="",D912=""),"",IF(D912="","⚠ Escolha o tema",IF(COUNTIF('1. Temas'!$C$8:$C$37,D912)=0,"⚠ Tema não cadastrado","✔ OK")))</f>
        <v/>
      </c>
    </row>
    <row r="913">
      <c r="B913" s="40" t="n"/>
      <c r="C913" s="41" t="n"/>
      <c r="D913" s="42" t="n"/>
      <c r="E913" s="42" t="n"/>
      <c r="F913" s="43">
        <f>IF(AND(B913="",D913=""),"",IF(D913="","⚠ Escolha o tema",IF(COUNTIF('1. Temas'!$C$8:$C$37,D913)=0,"⚠ Tema não cadastrado","✔ OK")))</f>
        <v/>
      </c>
    </row>
    <row r="914">
      <c r="B914" s="40" t="n"/>
      <c r="C914" s="41" t="n"/>
      <c r="D914" s="42" t="n"/>
      <c r="E914" s="42" t="n"/>
      <c r="F914" s="43">
        <f>IF(AND(B914="",D914=""),"",IF(D914="","⚠ Escolha o tema",IF(COUNTIF('1. Temas'!$C$8:$C$37,D914)=0,"⚠ Tema não cadastrado","✔ OK")))</f>
        <v/>
      </c>
    </row>
    <row r="915">
      <c r="B915" s="40" t="n"/>
      <c r="C915" s="41" t="n"/>
      <c r="D915" s="42" t="n"/>
      <c r="E915" s="42" t="n"/>
      <c r="F915" s="43">
        <f>IF(AND(B915="",D915=""),"",IF(D915="","⚠ Escolha o tema",IF(COUNTIF('1. Temas'!$C$8:$C$37,D915)=0,"⚠ Tema não cadastrado","✔ OK")))</f>
        <v/>
      </c>
    </row>
    <row r="916">
      <c r="B916" s="40" t="n"/>
      <c r="C916" s="41" t="n"/>
      <c r="D916" s="42" t="n"/>
      <c r="E916" s="42" t="n"/>
      <c r="F916" s="43">
        <f>IF(AND(B916="",D916=""),"",IF(D916="","⚠ Escolha o tema",IF(COUNTIF('1. Temas'!$C$8:$C$37,D916)=0,"⚠ Tema não cadastrado","✔ OK")))</f>
        <v/>
      </c>
    </row>
    <row r="917">
      <c r="B917" s="40" t="n"/>
      <c r="C917" s="41" t="n"/>
      <c r="D917" s="42" t="n"/>
      <c r="E917" s="42" t="n"/>
      <c r="F917" s="43">
        <f>IF(AND(B917="",D917=""),"",IF(D917="","⚠ Escolha o tema",IF(COUNTIF('1. Temas'!$C$8:$C$37,D917)=0,"⚠ Tema não cadastrado","✔ OK")))</f>
        <v/>
      </c>
    </row>
    <row r="918">
      <c r="B918" s="40" t="n"/>
      <c r="C918" s="41" t="n"/>
      <c r="D918" s="42" t="n"/>
      <c r="E918" s="42" t="n"/>
      <c r="F918" s="43">
        <f>IF(AND(B918="",D918=""),"",IF(D918="","⚠ Escolha o tema",IF(COUNTIF('1. Temas'!$C$8:$C$37,D918)=0,"⚠ Tema não cadastrado","✔ OK")))</f>
        <v/>
      </c>
    </row>
    <row r="919">
      <c r="B919" s="40" t="n"/>
      <c r="C919" s="41" t="n"/>
      <c r="D919" s="42" t="n"/>
      <c r="E919" s="42" t="n"/>
      <c r="F919" s="43">
        <f>IF(AND(B919="",D919=""),"",IF(D919="","⚠ Escolha o tema",IF(COUNTIF('1. Temas'!$C$8:$C$37,D919)=0,"⚠ Tema não cadastrado","✔ OK")))</f>
        <v/>
      </c>
    </row>
    <row r="920">
      <c r="B920" s="40" t="n"/>
      <c r="C920" s="41" t="n"/>
      <c r="D920" s="42" t="n"/>
      <c r="E920" s="42" t="n"/>
      <c r="F920" s="43">
        <f>IF(AND(B920="",D920=""),"",IF(D920="","⚠ Escolha o tema",IF(COUNTIF('1. Temas'!$C$8:$C$37,D920)=0,"⚠ Tema não cadastrado","✔ OK")))</f>
        <v/>
      </c>
    </row>
    <row r="921">
      <c r="B921" s="40" t="n"/>
      <c r="C921" s="41" t="n"/>
      <c r="D921" s="42" t="n"/>
      <c r="E921" s="42" t="n"/>
      <c r="F921" s="43">
        <f>IF(AND(B921="",D921=""),"",IF(D921="","⚠ Escolha o tema",IF(COUNTIF('1. Temas'!$C$8:$C$37,D921)=0,"⚠ Tema não cadastrado","✔ OK")))</f>
        <v/>
      </c>
    </row>
    <row r="922">
      <c r="B922" s="40" t="n"/>
      <c r="C922" s="41" t="n"/>
      <c r="D922" s="42" t="n"/>
      <c r="E922" s="42" t="n"/>
      <c r="F922" s="43">
        <f>IF(AND(B922="",D922=""),"",IF(D922="","⚠ Escolha o tema",IF(COUNTIF('1. Temas'!$C$8:$C$37,D922)=0,"⚠ Tema não cadastrado","✔ OK")))</f>
        <v/>
      </c>
    </row>
    <row r="923">
      <c r="B923" s="40" t="n"/>
      <c r="C923" s="41" t="n"/>
      <c r="D923" s="42" t="n"/>
      <c r="E923" s="42" t="n"/>
      <c r="F923" s="43">
        <f>IF(AND(B923="",D923=""),"",IF(D923="","⚠ Escolha o tema",IF(COUNTIF('1. Temas'!$C$8:$C$37,D923)=0,"⚠ Tema não cadastrado","✔ OK")))</f>
        <v/>
      </c>
    </row>
    <row r="924">
      <c r="B924" s="40" t="n"/>
      <c r="C924" s="41" t="n"/>
      <c r="D924" s="42" t="n"/>
      <c r="E924" s="42" t="n"/>
      <c r="F924" s="43">
        <f>IF(AND(B924="",D924=""),"",IF(D924="","⚠ Escolha o tema",IF(COUNTIF('1. Temas'!$C$8:$C$37,D924)=0,"⚠ Tema não cadastrado","✔ OK")))</f>
        <v/>
      </c>
    </row>
    <row r="925">
      <c r="B925" s="40" t="n"/>
      <c r="C925" s="41" t="n"/>
      <c r="D925" s="42" t="n"/>
      <c r="E925" s="42" t="n"/>
      <c r="F925" s="43">
        <f>IF(AND(B925="",D925=""),"",IF(D925="","⚠ Escolha o tema",IF(COUNTIF('1. Temas'!$C$8:$C$37,D925)=0,"⚠ Tema não cadastrado","✔ OK")))</f>
        <v/>
      </c>
    </row>
    <row r="926">
      <c r="B926" s="40" t="n"/>
      <c r="C926" s="41" t="n"/>
      <c r="D926" s="42" t="n"/>
      <c r="E926" s="42" t="n"/>
      <c r="F926" s="43">
        <f>IF(AND(B926="",D926=""),"",IF(D926="","⚠ Escolha o tema",IF(COUNTIF('1. Temas'!$C$8:$C$37,D926)=0,"⚠ Tema não cadastrado","✔ OK")))</f>
        <v/>
      </c>
    </row>
    <row r="927">
      <c r="B927" s="40" t="n"/>
      <c r="C927" s="41" t="n"/>
      <c r="D927" s="42" t="n"/>
      <c r="E927" s="42" t="n"/>
      <c r="F927" s="43">
        <f>IF(AND(B927="",D927=""),"",IF(D927="","⚠ Escolha o tema",IF(COUNTIF('1. Temas'!$C$8:$C$37,D927)=0,"⚠ Tema não cadastrado","✔ OK")))</f>
        <v/>
      </c>
    </row>
    <row r="928">
      <c r="B928" s="40" t="n"/>
      <c r="C928" s="41" t="n"/>
      <c r="D928" s="42" t="n"/>
      <c r="E928" s="42" t="n"/>
      <c r="F928" s="43">
        <f>IF(AND(B928="",D928=""),"",IF(D928="","⚠ Escolha o tema",IF(COUNTIF('1. Temas'!$C$8:$C$37,D928)=0,"⚠ Tema não cadastrado","✔ OK")))</f>
        <v/>
      </c>
    </row>
    <row r="929">
      <c r="B929" s="40" t="n"/>
      <c r="C929" s="41" t="n"/>
      <c r="D929" s="42" t="n"/>
      <c r="E929" s="42" t="n"/>
      <c r="F929" s="43">
        <f>IF(AND(B929="",D929=""),"",IF(D929="","⚠ Escolha o tema",IF(COUNTIF('1. Temas'!$C$8:$C$37,D929)=0,"⚠ Tema não cadastrado","✔ OK")))</f>
        <v/>
      </c>
    </row>
    <row r="930">
      <c r="B930" s="40" t="n"/>
      <c r="C930" s="41" t="n"/>
      <c r="D930" s="42" t="n"/>
      <c r="E930" s="42" t="n"/>
      <c r="F930" s="43">
        <f>IF(AND(B930="",D930=""),"",IF(D930="","⚠ Escolha o tema",IF(COUNTIF('1. Temas'!$C$8:$C$37,D930)=0,"⚠ Tema não cadastrado","✔ OK")))</f>
        <v/>
      </c>
    </row>
    <row r="931">
      <c r="B931" s="40" t="n"/>
      <c r="C931" s="41" t="n"/>
      <c r="D931" s="42" t="n"/>
      <c r="E931" s="42" t="n"/>
      <c r="F931" s="43">
        <f>IF(AND(B931="",D931=""),"",IF(D931="","⚠ Escolha o tema",IF(COUNTIF('1. Temas'!$C$8:$C$37,D931)=0,"⚠ Tema não cadastrado","✔ OK")))</f>
        <v/>
      </c>
    </row>
    <row r="932">
      <c r="B932" s="40" t="n"/>
      <c r="C932" s="41" t="n"/>
      <c r="D932" s="42" t="n"/>
      <c r="E932" s="42" t="n"/>
      <c r="F932" s="43">
        <f>IF(AND(B932="",D932=""),"",IF(D932="","⚠ Escolha o tema",IF(COUNTIF('1. Temas'!$C$8:$C$37,D932)=0,"⚠ Tema não cadastrado","✔ OK")))</f>
        <v/>
      </c>
    </row>
    <row r="933">
      <c r="B933" s="40" t="n"/>
      <c r="C933" s="41" t="n"/>
      <c r="D933" s="42" t="n"/>
      <c r="E933" s="42" t="n"/>
      <c r="F933" s="43">
        <f>IF(AND(B933="",D933=""),"",IF(D933="","⚠ Escolha o tema",IF(COUNTIF('1. Temas'!$C$8:$C$37,D933)=0,"⚠ Tema não cadastrado","✔ OK")))</f>
        <v/>
      </c>
    </row>
    <row r="934">
      <c r="B934" s="40" t="n"/>
      <c r="C934" s="41" t="n"/>
      <c r="D934" s="42" t="n"/>
      <c r="E934" s="42" t="n"/>
      <c r="F934" s="43">
        <f>IF(AND(B934="",D934=""),"",IF(D934="","⚠ Escolha o tema",IF(COUNTIF('1. Temas'!$C$8:$C$37,D934)=0,"⚠ Tema não cadastrado","✔ OK")))</f>
        <v/>
      </c>
    </row>
    <row r="935">
      <c r="B935" s="40" t="n"/>
      <c r="C935" s="41" t="n"/>
      <c r="D935" s="42" t="n"/>
      <c r="E935" s="42" t="n"/>
      <c r="F935" s="43">
        <f>IF(AND(B935="",D935=""),"",IF(D935="","⚠ Escolha o tema",IF(COUNTIF('1. Temas'!$C$8:$C$37,D935)=0,"⚠ Tema não cadastrado","✔ OK")))</f>
        <v/>
      </c>
    </row>
    <row r="936">
      <c r="B936" s="40" t="n"/>
      <c r="C936" s="41" t="n"/>
      <c r="D936" s="42" t="n"/>
      <c r="E936" s="42" t="n"/>
      <c r="F936" s="43">
        <f>IF(AND(B936="",D936=""),"",IF(D936="","⚠ Escolha o tema",IF(COUNTIF('1. Temas'!$C$8:$C$37,D936)=0,"⚠ Tema não cadastrado","✔ OK")))</f>
        <v/>
      </c>
    </row>
    <row r="937">
      <c r="B937" s="40" t="n"/>
      <c r="C937" s="41" t="n"/>
      <c r="D937" s="42" t="n"/>
      <c r="E937" s="42" t="n"/>
      <c r="F937" s="43">
        <f>IF(AND(B937="",D937=""),"",IF(D937="","⚠ Escolha o tema",IF(COUNTIF('1. Temas'!$C$8:$C$37,D937)=0,"⚠ Tema não cadastrado","✔ OK")))</f>
        <v/>
      </c>
    </row>
    <row r="938">
      <c r="B938" s="40" t="n"/>
      <c r="C938" s="41" t="n"/>
      <c r="D938" s="42" t="n"/>
      <c r="E938" s="42" t="n"/>
      <c r="F938" s="43">
        <f>IF(AND(B938="",D938=""),"",IF(D938="","⚠ Escolha o tema",IF(COUNTIF('1. Temas'!$C$8:$C$37,D938)=0,"⚠ Tema não cadastrado","✔ OK")))</f>
        <v/>
      </c>
    </row>
    <row r="939">
      <c r="B939" s="40" t="n"/>
      <c r="C939" s="41" t="n"/>
      <c r="D939" s="42" t="n"/>
      <c r="E939" s="42" t="n"/>
      <c r="F939" s="43">
        <f>IF(AND(B939="",D939=""),"",IF(D939="","⚠ Escolha o tema",IF(COUNTIF('1. Temas'!$C$8:$C$37,D939)=0,"⚠ Tema não cadastrado","✔ OK")))</f>
        <v/>
      </c>
    </row>
    <row r="940">
      <c r="B940" s="40" t="n"/>
      <c r="C940" s="41" t="n"/>
      <c r="D940" s="42" t="n"/>
      <c r="E940" s="42" t="n"/>
      <c r="F940" s="43">
        <f>IF(AND(B940="",D940=""),"",IF(D940="","⚠ Escolha o tema",IF(COUNTIF('1. Temas'!$C$8:$C$37,D940)=0,"⚠ Tema não cadastrado","✔ OK")))</f>
        <v/>
      </c>
    </row>
    <row r="941">
      <c r="B941" s="40" t="n"/>
      <c r="C941" s="41" t="n"/>
      <c r="D941" s="42" t="n"/>
      <c r="E941" s="42" t="n"/>
      <c r="F941" s="43">
        <f>IF(AND(B941="",D941=""),"",IF(D941="","⚠ Escolha o tema",IF(COUNTIF('1. Temas'!$C$8:$C$37,D941)=0,"⚠ Tema não cadastrado","✔ OK")))</f>
        <v/>
      </c>
    </row>
    <row r="942">
      <c r="B942" s="40" t="n"/>
      <c r="C942" s="41" t="n"/>
      <c r="D942" s="42" t="n"/>
      <c r="E942" s="42" t="n"/>
      <c r="F942" s="43">
        <f>IF(AND(B942="",D942=""),"",IF(D942="","⚠ Escolha o tema",IF(COUNTIF('1. Temas'!$C$8:$C$37,D942)=0,"⚠ Tema não cadastrado","✔ OK")))</f>
        <v/>
      </c>
    </row>
    <row r="943">
      <c r="B943" s="40" t="n"/>
      <c r="C943" s="41" t="n"/>
      <c r="D943" s="42" t="n"/>
      <c r="E943" s="42" t="n"/>
      <c r="F943" s="43">
        <f>IF(AND(B943="",D943=""),"",IF(D943="","⚠ Escolha o tema",IF(COUNTIF('1. Temas'!$C$8:$C$37,D943)=0,"⚠ Tema não cadastrado","✔ OK")))</f>
        <v/>
      </c>
    </row>
    <row r="944">
      <c r="B944" s="40" t="n"/>
      <c r="C944" s="41" t="n"/>
      <c r="D944" s="42" t="n"/>
      <c r="E944" s="42" t="n"/>
      <c r="F944" s="43">
        <f>IF(AND(B944="",D944=""),"",IF(D944="","⚠ Escolha o tema",IF(COUNTIF('1. Temas'!$C$8:$C$37,D944)=0,"⚠ Tema não cadastrado","✔ OK")))</f>
        <v/>
      </c>
    </row>
    <row r="945">
      <c r="B945" s="40" t="n"/>
      <c r="C945" s="41" t="n"/>
      <c r="D945" s="42" t="n"/>
      <c r="E945" s="42" t="n"/>
      <c r="F945" s="43">
        <f>IF(AND(B945="",D945=""),"",IF(D945="","⚠ Escolha o tema",IF(COUNTIF('1. Temas'!$C$8:$C$37,D945)=0,"⚠ Tema não cadastrado","✔ OK")))</f>
        <v/>
      </c>
    </row>
    <row r="946">
      <c r="B946" s="40" t="n"/>
      <c r="C946" s="41" t="n"/>
      <c r="D946" s="42" t="n"/>
      <c r="E946" s="42" t="n"/>
      <c r="F946" s="43">
        <f>IF(AND(B946="",D946=""),"",IF(D946="","⚠ Escolha o tema",IF(COUNTIF('1. Temas'!$C$8:$C$37,D946)=0,"⚠ Tema não cadastrado","✔ OK")))</f>
        <v/>
      </c>
    </row>
    <row r="947">
      <c r="B947" s="40" t="n"/>
      <c r="C947" s="41" t="n"/>
      <c r="D947" s="42" t="n"/>
      <c r="E947" s="42" t="n"/>
      <c r="F947" s="43">
        <f>IF(AND(B947="",D947=""),"",IF(D947="","⚠ Escolha o tema",IF(COUNTIF('1. Temas'!$C$8:$C$37,D947)=0,"⚠ Tema não cadastrado","✔ OK")))</f>
        <v/>
      </c>
    </row>
    <row r="948">
      <c r="B948" s="40" t="n"/>
      <c r="C948" s="41" t="n"/>
      <c r="D948" s="42" t="n"/>
      <c r="E948" s="42" t="n"/>
      <c r="F948" s="43">
        <f>IF(AND(B948="",D948=""),"",IF(D948="","⚠ Escolha o tema",IF(COUNTIF('1. Temas'!$C$8:$C$37,D948)=0,"⚠ Tema não cadastrado","✔ OK")))</f>
        <v/>
      </c>
    </row>
    <row r="949">
      <c r="B949" s="40" t="n"/>
      <c r="C949" s="41" t="n"/>
      <c r="D949" s="42" t="n"/>
      <c r="E949" s="42" t="n"/>
      <c r="F949" s="43">
        <f>IF(AND(B949="",D949=""),"",IF(D949="","⚠ Escolha o tema",IF(COUNTIF('1. Temas'!$C$8:$C$37,D949)=0,"⚠ Tema não cadastrado","✔ OK")))</f>
        <v/>
      </c>
    </row>
    <row r="950">
      <c r="B950" s="40" t="n"/>
      <c r="C950" s="41" t="n"/>
      <c r="D950" s="42" t="n"/>
      <c r="E950" s="42" t="n"/>
      <c r="F950" s="43">
        <f>IF(AND(B950="",D950=""),"",IF(D950="","⚠ Escolha o tema",IF(COUNTIF('1. Temas'!$C$8:$C$37,D950)=0,"⚠ Tema não cadastrado","✔ OK")))</f>
        <v/>
      </c>
    </row>
    <row r="951">
      <c r="B951" s="40" t="n"/>
      <c r="C951" s="41" t="n"/>
      <c r="D951" s="42" t="n"/>
      <c r="E951" s="42" t="n"/>
      <c r="F951" s="43">
        <f>IF(AND(B951="",D951=""),"",IF(D951="","⚠ Escolha o tema",IF(COUNTIF('1. Temas'!$C$8:$C$37,D951)=0,"⚠ Tema não cadastrado","✔ OK")))</f>
        <v/>
      </c>
    </row>
    <row r="952">
      <c r="B952" s="40" t="n"/>
      <c r="C952" s="41" t="n"/>
      <c r="D952" s="42" t="n"/>
      <c r="E952" s="42" t="n"/>
      <c r="F952" s="43">
        <f>IF(AND(B952="",D952=""),"",IF(D952="","⚠ Escolha o tema",IF(COUNTIF('1. Temas'!$C$8:$C$37,D952)=0,"⚠ Tema não cadastrado","✔ OK")))</f>
        <v/>
      </c>
    </row>
    <row r="953">
      <c r="B953" s="40" t="n"/>
      <c r="C953" s="41" t="n"/>
      <c r="D953" s="42" t="n"/>
      <c r="E953" s="42" t="n"/>
      <c r="F953" s="43">
        <f>IF(AND(B953="",D953=""),"",IF(D953="","⚠ Escolha o tema",IF(COUNTIF('1. Temas'!$C$8:$C$37,D953)=0,"⚠ Tema não cadastrado","✔ OK")))</f>
        <v/>
      </c>
    </row>
    <row r="954">
      <c r="B954" s="40" t="n"/>
      <c r="C954" s="41" t="n"/>
      <c r="D954" s="42" t="n"/>
      <c r="E954" s="42" t="n"/>
      <c r="F954" s="43">
        <f>IF(AND(B954="",D954=""),"",IF(D954="","⚠ Escolha o tema",IF(COUNTIF('1. Temas'!$C$8:$C$37,D954)=0,"⚠ Tema não cadastrado","✔ OK")))</f>
        <v/>
      </c>
    </row>
    <row r="955">
      <c r="B955" s="40" t="n"/>
      <c r="C955" s="41" t="n"/>
      <c r="D955" s="42" t="n"/>
      <c r="E955" s="42" t="n"/>
      <c r="F955" s="43">
        <f>IF(AND(B955="",D955=""),"",IF(D955="","⚠ Escolha o tema",IF(COUNTIF('1. Temas'!$C$8:$C$37,D955)=0,"⚠ Tema não cadastrado","✔ OK")))</f>
        <v/>
      </c>
    </row>
    <row r="956">
      <c r="B956" s="40" t="n"/>
      <c r="C956" s="41" t="n"/>
      <c r="D956" s="42" t="n"/>
      <c r="E956" s="42" t="n"/>
      <c r="F956" s="43">
        <f>IF(AND(B956="",D956=""),"",IF(D956="","⚠ Escolha o tema",IF(COUNTIF('1. Temas'!$C$8:$C$37,D956)=0,"⚠ Tema não cadastrado","✔ OK")))</f>
        <v/>
      </c>
    </row>
    <row r="957">
      <c r="B957" s="40" t="n"/>
      <c r="C957" s="41" t="n"/>
      <c r="D957" s="42" t="n"/>
      <c r="E957" s="42" t="n"/>
      <c r="F957" s="43">
        <f>IF(AND(B957="",D957=""),"",IF(D957="","⚠ Escolha o tema",IF(COUNTIF('1. Temas'!$C$8:$C$37,D957)=0,"⚠ Tema não cadastrado","✔ OK")))</f>
        <v/>
      </c>
    </row>
    <row r="958">
      <c r="B958" s="40" t="n"/>
      <c r="C958" s="41" t="n"/>
      <c r="D958" s="42" t="n"/>
      <c r="E958" s="42" t="n"/>
      <c r="F958" s="43">
        <f>IF(AND(B958="",D958=""),"",IF(D958="","⚠ Escolha o tema",IF(COUNTIF('1. Temas'!$C$8:$C$37,D958)=0,"⚠ Tema não cadastrado","✔ OK")))</f>
        <v/>
      </c>
    </row>
    <row r="959">
      <c r="B959" s="40" t="n"/>
      <c r="C959" s="41" t="n"/>
      <c r="D959" s="42" t="n"/>
      <c r="E959" s="42" t="n"/>
      <c r="F959" s="43">
        <f>IF(AND(B959="",D959=""),"",IF(D959="","⚠ Escolha o tema",IF(COUNTIF('1. Temas'!$C$8:$C$37,D959)=0,"⚠ Tema não cadastrado","✔ OK")))</f>
        <v/>
      </c>
    </row>
    <row r="960">
      <c r="B960" s="40" t="n"/>
      <c r="C960" s="41" t="n"/>
      <c r="D960" s="42" t="n"/>
      <c r="E960" s="42" t="n"/>
      <c r="F960" s="43">
        <f>IF(AND(B960="",D960=""),"",IF(D960="","⚠ Escolha o tema",IF(COUNTIF('1. Temas'!$C$8:$C$37,D960)=0,"⚠ Tema não cadastrado","✔ OK")))</f>
        <v/>
      </c>
    </row>
    <row r="961">
      <c r="B961" s="40" t="n"/>
      <c r="C961" s="41" t="n"/>
      <c r="D961" s="42" t="n"/>
      <c r="E961" s="42" t="n"/>
      <c r="F961" s="43">
        <f>IF(AND(B961="",D961=""),"",IF(D961="","⚠ Escolha o tema",IF(COUNTIF('1. Temas'!$C$8:$C$37,D961)=0,"⚠ Tema não cadastrado","✔ OK")))</f>
        <v/>
      </c>
    </row>
    <row r="962">
      <c r="B962" s="40" t="n"/>
      <c r="C962" s="41" t="n"/>
      <c r="D962" s="42" t="n"/>
      <c r="E962" s="42" t="n"/>
      <c r="F962" s="43">
        <f>IF(AND(B962="",D962=""),"",IF(D962="","⚠ Escolha o tema",IF(COUNTIF('1. Temas'!$C$8:$C$37,D962)=0,"⚠ Tema não cadastrado","✔ OK")))</f>
        <v/>
      </c>
    </row>
    <row r="963">
      <c r="B963" s="40" t="n"/>
      <c r="C963" s="41" t="n"/>
      <c r="D963" s="42" t="n"/>
      <c r="E963" s="42" t="n"/>
      <c r="F963" s="43">
        <f>IF(AND(B963="",D963=""),"",IF(D963="","⚠ Escolha o tema",IF(COUNTIF('1. Temas'!$C$8:$C$37,D963)=0,"⚠ Tema não cadastrado","✔ OK")))</f>
        <v/>
      </c>
    </row>
    <row r="964">
      <c r="B964" s="40" t="n"/>
      <c r="C964" s="41" t="n"/>
      <c r="D964" s="42" t="n"/>
      <c r="E964" s="42" t="n"/>
      <c r="F964" s="43">
        <f>IF(AND(B964="",D964=""),"",IF(D964="","⚠ Escolha o tema",IF(COUNTIF('1. Temas'!$C$8:$C$37,D964)=0,"⚠ Tema não cadastrado","✔ OK")))</f>
        <v/>
      </c>
    </row>
    <row r="965">
      <c r="B965" s="40" t="n"/>
      <c r="C965" s="41" t="n"/>
      <c r="D965" s="42" t="n"/>
      <c r="E965" s="42" t="n"/>
      <c r="F965" s="43">
        <f>IF(AND(B965="",D965=""),"",IF(D965="","⚠ Escolha o tema",IF(COUNTIF('1. Temas'!$C$8:$C$37,D965)=0,"⚠ Tema não cadastrado","✔ OK")))</f>
        <v/>
      </c>
    </row>
    <row r="966">
      <c r="B966" s="40" t="n"/>
      <c r="C966" s="41" t="n"/>
      <c r="D966" s="42" t="n"/>
      <c r="E966" s="42" t="n"/>
      <c r="F966" s="43">
        <f>IF(AND(B966="",D966=""),"",IF(D966="","⚠ Escolha o tema",IF(COUNTIF('1. Temas'!$C$8:$C$37,D966)=0,"⚠ Tema não cadastrado","✔ OK")))</f>
        <v/>
      </c>
    </row>
    <row r="967">
      <c r="B967" s="40" t="n"/>
      <c r="C967" s="41" t="n"/>
      <c r="D967" s="42" t="n"/>
      <c r="E967" s="42" t="n"/>
      <c r="F967" s="43">
        <f>IF(AND(B967="",D967=""),"",IF(D967="","⚠ Escolha o tema",IF(COUNTIF('1. Temas'!$C$8:$C$37,D967)=0,"⚠ Tema não cadastrado","✔ OK")))</f>
        <v/>
      </c>
    </row>
    <row r="968">
      <c r="B968" s="40" t="n"/>
      <c r="C968" s="41" t="n"/>
      <c r="D968" s="42" t="n"/>
      <c r="E968" s="42" t="n"/>
      <c r="F968" s="43">
        <f>IF(AND(B968="",D968=""),"",IF(D968="","⚠ Escolha o tema",IF(COUNTIF('1. Temas'!$C$8:$C$37,D968)=0,"⚠ Tema não cadastrado","✔ OK")))</f>
        <v/>
      </c>
    </row>
    <row r="969">
      <c r="B969" s="40" t="n"/>
      <c r="C969" s="41" t="n"/>
      <c r="D969" s="42" t="n"/>
      <c r="E969" s="42" t="n"/>
      <c r="F969" s="43">
        <f>IF(AND(B969="",D969=""),"",IF(D969="","⚠ Escolha o tema",IF(COUNTIF('1. Temas'!$C$8:$C$37,D969)=0,"⚠ Tema não cadastrado","✔ OK")))</f>
        <v/>
      </c>
    </row>
    <row r="970">
      <c r="B970" s="40" t="n"/>
      <c r="C970" s="41" t="n"/>
      <c r="D970" s="42" t="n"/>
      <c r="E970" s="42" t="n"/>
      <c r="F970" s="43">
        <f>IF(AND(B970="",D970=""),"",IF(D970="","⚠ Escolha o tema",IF(COUNTIF('1. Temas'!$C$8:$C$37,D970)=0,"⚠ Tema não cadastrado","✔ OK")))</f>
        <v/>
      </c>
    </row>
    <row r="971">
      <c r="B971" s="40" t="n"/>
      <c r="C971" s="41" t="n"/>
      <c r="D971" s="42" t="n"/>
      <c r="E971" s="42" t="n"/>
      <c r="F971" s="43">
        <f>IF(AND(B971="",D971=""),"",IF(D971="","⚠ Escolha o tema",IF(COUNTIF('1. Temas'!$C$8:$C$37,D971)=0,"⚠ Tema não cadastrado","✔ OK")))</f>
        <v/>
      </c>
    </row>
    <row r="972">
      <c r="B972" s="40" t="n"/>
      <c r="C972" s="41" t="n"/>
      <c r="D972" s="42" t="n"/>
      <c r="E972" s="42" t="n"/>
      <c r="F972" s="43">
        <f>IF(AND(B972="",D972=""),"",IF(D972="","⚠ Escolha o tema",IF(COUNTIF('1. Temas'!$C$8:$C$37,D972)=0,"⚠ Tema não cadastrado","✔ OK")))</f>
        <v/>
      </c>
    </row>
    <row r="973">
      <c r="B973" s="40" t="n"/>
      <c r="C973" s="41" t="n"/>
      <c r="D973" s="42" t="n"/>
      <c r="E973" s="42" t="n"/>
      <c r="F973" s="43">
        <f>IF(AND(B973="",D973=""),"",IF(D973="","⚠ Escolha o tema",IF(COUNTIF('1. Temas'!$C$8:$C$37,D973)=0,"⚠ Tema não cadastrado","✔ OK")))</f>
        <v/>
      </c>
    </row>
    <row r="974">
      <c r="B974" s="40" t="n"/>
      <c r="C974" s="41" t="n"/>
      <c r="D974" s="42" t="n"/>
      <c r="E974" s="42" t="n"/>
      <c r="F974" s="43">
        <f>IF(AND(B974="",D974=""),"",IF(D974="","⚠ Escolha o tema",IF(COUNTIF('1. Temas'!$C$8:$C$37,D974)=0,"⚠ Tema não cadastrado","✔ OK")))</f>
        <v/>
      </c>
    </row>
    <row r="975">
      <c r="B975" s="40" t="n"/>
      <c r="C975" s="41" t="n"/>
      <c r="D975" s="42" t="n"/>
      <c r="E975" s="42" t="n"/>
      <c r="F975" s="43">
        <f>IF(AND(B975="",D975=""),"",IF(D975="","⚠ Escolha o tema",IF(COUNTIF('1. Temas'!$C$8:$C$37,D975)=0,"⚠ Tema não cadastrado","✔ OK")))</f>
        <v/>
      </c>
    </row>
    <row r="976">
      <c r="B976" s="40" t="n"/>
      <c r="C976" s="41" t="n"/>
      <c r="D976" s="42" t="n"/>
      <c r="E976" s="42" t="n"/>
      <c r="F976" s="43">
        <f>IF(AND(B976="",D976=""),"",IF(D976="","⚠ Escolha o tema",IF(COUNTIF('1. Temas'!$C$8:$C$37,D976)=0,"⚠ Tema não cadastrado","✔ OK")))</f>
        <v/>
      </c>
    </row>
    <row r="977">
      <c r="B977" s="40" t="n"/>
      <c r="C977" s="41" t="n"/>
      <c r="D977" s="42" t="n"/>
      <c r="E977" s="42" t="n"/>
      <c r="F977" s="43">
        <f>IF(AND(B977="",D977=""),"",IF(D977="","⚠ Escolha o tema",IF(COUNTIF('1. Temas'!$C$8:$C$37,D977)=0,"⚠ Tema não cadastrado","✔ OK")))</f>
        <v/>
      </c>
    </row>
    <row r="978">
      <c r="B978" s="40" t="n"/>
      <c r="C978" s="41" t="n"/>
      <c r="D978" s="42" t="n"/>
      <c r="E978" s="42" t="n"/>
      <c r="F978" s="43">
        <f>IF(AND(B978="",D978=""),"",IF(D978="","⚠ Escolha o tema",IF(COUNTIF('1. Temas'!$C$8:$C$37,D978)=0,"⚠ Tema não cadastrado","✔ OK")))</f>
        <v/>
      </c>
    </row>
    <row r="979">
      <c r="B979" s="40" t="n"/>
      <c r="C979" s="41" t="n"/>
      <c r="D979" s="42" t="n"/>
      <c r="E979" s="42" t="n"/>
      <c r="F979" s="43">
        <f>IF(AND(B979="",D979=""),"",IF(D979="","⚠ Escolha o tema",IF(COUNTIF('1. Temas'!$C$8:$C$37,D979)=0,"⚠ Tema não cadastrado","✔ OK")))</f>
        <v/>
      </c>
    </row>
    <row r="980">
      <c r="B980" s="40" t="n"/>
      <c r="C980" s="41" t="n"/>
      <c r="D980" s="42" t="n"/>
      <c r="E980" s="42" t="n"/>
      <c r="F980" s="43">
        <f>IF(AND(B980="",D980=""),"",IF(D980="","⚠ Escolha o tema",IF(COUNTIF('1. Temas'!$C$8:$C$37,D980)=0,"⚠ Tema não cadastrado","✔ OK")))</f>
        <v/>
      </c>
    </row>
    <row r="981">
      <c r="B981" s="40" t="n"/>
      <c r="C981" s="41" t="n"/>
      <c r="D981" s="42" t="n"/>
      <c r="E981" s="42" t="n"/>
      <c r="F981" s="43">
        <f>IF(AND(B981="",D981=""),"",IF(D981="","⚠ Escolha o tema",IF(COUNTIF('1. Temas'!$C$8:$C$37,D981)=0,"⚠ Tema não cadastrado","✔ OK")))</f>
        <v/>
      </c>
    </row>
    <row r="982">
      <c r="B982" s="40" t="n"/>
      <c r="C982" s="41" t="n"/>
      <c r="D982" s="42" t="n"/>
      <c r="E982" s="42" t="n"/>
      <c r="F982" s="43">
        <f>IF(AND(B982="",D982=""),"",IF(D982="","⚠ Escolha o tema",IF(COUNTIF('1. Temas'!$C$8:$C$37,D982)=0,"⚠ Tema não cadastrado","✔ OK")))</f>
        <v/>
      </c>
    </row>
    <row r="983">
      <c r="B983" s="40" t="n"/>
      <c r="C983" s="41" t="n"/>
      <c r="D983" s="42" t="n"/>
      <c r="E983" s="42" t="n"/>
      <c r="F983" s="43">
        <f>IF(AND(B983="",D983=""),"",IF(D983="","⚠ Escolha o tema",IF(COUNTIF('1. Temas'!$C$8:$C$37,D983)=0,"⚠ Tema não cadastrado","✔ OK")))</f>
        <v/>
      </c>
    </row>
    <row r="984">
      <c r="B984" s="40" t="n"/>
      <c r="C984" s="41" t="n"/>
      <c r="D984" s="42" t="n"/>
      <c r="E984" s="42" t="n"/>
      <c r="F984" s="43">
        <f>IF(AND(B984="",D984=""),"",IF(D984="","⚠ Escolha o tema",IF(COUNTIF('1. Temas'!$C$8:$C$37,D984)=0,"⚠ Tema não cadastrado","✔ OK")))</f>
        <v/>
      </c>
    </row>
    <row r="985">
      <c r="B985" s="40" t="n"/>
      <c r="C985" s="41" t="n"/>
      <c r="D985" s="42" t="n"/>
      <c r="E985" s="42" t="n"/>
      <c r="F985" s="43">
        <f>IF(AND(B985="",D985=""),"",IF(D985="","⚠ Escolha o tema",IF(COUNTIF('1. Temas'!$C$8:$C$37,D985)=0,"⚠ Tema não cadastrado","✔ OK")))</f>
        <v/>
      </c>
    </row>
    <row r="986">
      <c r="B986" s="40" t="n"/>
      <c r="C986" s="41" t="n"/>
      <c r="D986" s="42" t="n"/>
      <c r="E986" s="42" t="n"/>
      <c r="F986" s="43">
        <f>IF(AND(B986="",D986=""),"",IF(D986="","⚠ Escolha o tema",IF(COUNTIF('1. Temas'!$C$8:$C$37,D986)=0,"⚠ Tema não cadastrado","✔ OK")))</f>
        <v/>
      </c>
    </row>
    <row r="987">
      <c r="B987" s="40" t="n"/>
      <c r="C987" s="41" t="n"/>
      <c r="D987" s="42" t="n"/>
      <c r="E987" s="42" t="n"/>
      <c r="F987" s="43">
        <f>IF(AND(B987="",D987=""),"",IF(D987="","⚠ Escolha o tema",IF(COUNTIF('1. Temas'!$C$8:$C$37,D987)=0,"⚠ Tema não cadastrado","✔ OK")))</f>
        <v/>
      </c>
    </row>
    <row r="988">
      <c r="B988" s="40" t="n"/>
      <c r="C988" s="41" t="n"/>
      <c r="D988" s="42" t="n"/>
      <c r="E988" s="42" t="n"/>
      <c r="F988" s="43">
        <f>IF(AND(B988="",D988=""),"",IF(D988="","⚠ Escolha o tema",IF(COUNTIF('1. Temas'!$C$8:$C$37,D988)=0,"⚠ Tema não cadastrado","✔ OK")))</f>
        <v/>
      </c>
    </row>
    <row r="989">
      <c r="B989" s="40" t="n"/>
      <c r="C989" s="41" t="n"/>
      <c r="D989" s="42" t="n"/>
      <c r="E989" s="42" t="n"/>
      <c r="F989" s="43">
        <f>IF(AND(B989="",D989=""),"",IF(D989="","⚠ Escolha o tema",IF(COUNTIF('1. Temas'!$C$8:$C$37,D989)=0,"⚠ Tema não cadastrado","✔ OK")))</f>
        <v/>
      </c>
    </row>
    <row r="990">
      <c r="B990" s="40" t="n"/>
      <c r="C990" s="41" t="n"/>
      <c r="D990" s="42" t="n"/>
      <c r="E990" s="42" t="n"/>
      <c r="F990" s="43">
        <f>IF(AND(B990="",D990=""),"",IF(D990="","⚠ Escolha o tema",IF(COUNTIF('1. Temas'!$C$8:$C$37,D990)=0,"⚠ Tema não cadastrado","✔ OK")))</f>
        <v/>
      </c>
    </row>
    <row r="991">
      <c r="B991" s="40" t="n"/>
      <c r="C991" s="41" t="n"/>
      <c r="D991" s="42" t="n"/>
      <c r="E991" s="42" t="n"/>
      <c r="F991" s="43">
        <f>IF(AND(B991="",D991=""),"",IF(D991="","⚠ Escolha o tema",IF(COUNTIF('1. Temas'!$C$8:$C$37,D991)=0,"⚠ Tema não cadastrado","✔ OK")))</f>
        <v/>
      </c>
    </row>
    <row r="992">
      <c r="B992" s="40" t="n"/>
      <c r="C992" s="41" t="n"/>
      <c r="D992" s="42" t="n"/>
      <c r="E992" s="42" t="n"/>
      <c r="F992" s="43">
        <f>IF(AND(B992="",D992=""),"",IF(D992="","⚠ Escolha o tema",IF(COUNTIF('1. Temas'!$C$8:$C$37,D992)=0,"⚠ Tema não cadastrado","✔ OK")))</f>
        <v/>
      </c>
    </row>
    <row r="993">
      <c r="B993" s="40" t="n"/>
      <c r="C993" s="41" t="n"/>
      <c r="D993" s="42" t="n"/>
      <c r="E993" s="42" t="n"/>
      <c r="F993" s="43">
        <f>IF(AND(B993="",D993=""),"",IF(D993="","⚠ Escolha o tema",IF(COUNTIF('1. Temas'!$C$8:$C$37,D993)=0,"⚠ Tema não cadastrado","✔ OK")))</f>
        <v/>
      </c>
    </row>
    <row r="994">
      <c r="B994" s="40" t="n"/>
      <c r="C994" s="41" t="n"/>
      <c r="D994" s="42" t="n"/>
      <c r="E994" s="42" t="n"/>
      <c r="F994" s="43">
        <f>IF(AND(B994="",D994=""),"",IF(D994="","⚠ Escolha o tema",IF(COUNTIF('1. Temas'!$C$8:$C$37,D994)=0,"⚠ Tema não cadastrado","✔ OK")))</f>
        <v/>
      </c>
    </row>
    <row r="995">
      <c r="B995" s="40" t="n"/>
      <c r="C995" s="41" t="n"/>
      <c r="D995" s="42" t="n"/>
      <c r="E995" s="42" t="n"/>
      <c r="F995" s="43">
        <f>IF(AND(B995="",D995=""),"",IF(D995="","⚠ Escolha o tema",IF(COUNTIF('1. Temas'!$C$8:$C$37,D995)=0,"⚠ Tema não cadastrado","✔ OK")))</f>
        <v/>
      </c>
    </row>
    <row r="996">
      <c r="B996" s="40" t="n"/>
      <c r="C996" s="41" t="n"/>
      <c r="D996" s="42" t="n"/>
      <c r="E996" s="42" t="n"/>
      <c r="F996" s="43">
        <f>IF(AND(B996="",D996=""),"",IF(D996="","⚠ Escolha o tema",IF(COUNTIF('1. Temas'!$C$8:$C$37,D996)=0,"⚠ Tema não cadastrado","✔ OK")))</f>
        <v/>
      </c>
    </row>
    <row r="997">
      <c r="B997" s="40" t="n"/>
      <c r="C997" s="41" t="n"/>
      <c r="D997" s="42" t="n"/>
      <c r="E997" s="42" t="n"/>
      <c r="F997" s="43">
        <f>IF(AND(B997="",D997=""),"",IF(D997="","⚠ Escolha o tema",IF(COUNTIF('1. Temas'!$C$8:$C$37,D997)=0,"⚠ Tema não cadastrado","✔ OK")))</f>
        <v/>
      </c>
    </row>
    <row r="998">
      <c r="B998" s="40" t="n"/>
      <c r="C998" s="41" t="n"/>
      <c r="D998" s="42" t="n"/>
      <c r="E998" s="42" t="n"/>
      <c r="F998" s="43">
        <f>IF(AND(B998="",D998=""),"",IF(D998="","⚠ Escolha o tema",IF(COUNTIF('1. Temas'!$C$8:$C$37,D998)=0,"⚠ Tema não cadastrado","✔ OK")))</f>
        <v/>
      </c>
    </row>
    <row r="999">
      <c r="B999" s="40" t="n"/>
      <c r="C999" s="41" t="n"/>
      <c r="D999" s="42" t="n"/>
      <c r="E999" s="42" t="n"/>
      <c r="F999" s="43">
        <f>IF(AND(B999="",D999=""),"",IF(D999="","⚠ Escolha o tema",IF(COUNTIF('1. Temas'!$C$8:$C$37,D999)=0,"⚠ Tema não cadastrado","✔ OK")))</f>
        <v/>
      </c>
    </row>
    <row r="1000">
      <c r="B1000" s="40" t="n"/>
      <c r="C1000" s="41" t="n"/>
      <c r="D1000" s="42" t="n"/>
      <c r="E1000" s="42" t="n"/>
      <c r="F1000" s="43">
        <f>IF(AND(B1000="",D1000=""),"",IF(D1000="","⚠ Escolha o tema",IF(COUNTIF('1. Temas'!$C$8:$C$37,D1000)=0,"⚠ Tema não cadastrado","✔ OK")))</f>
        <v/>
      </c>
    </row>
    <row r="1001">
      <c r="B1001" s="40" t="n"/>
      <c r="C1001" s="41" t="n"/>
      <c r="D1001" s="42" t="n"/>
      <c r="E1001" s="42" t="n"/>
      <c r="F1001" s="43">
        <f>IF(AND(B1001="",D1001=""),"",IF(D1001="","⚠ Escolha o tema",IF(COUNTIF('1. Temas'!$C$8:$C$37,D1001)=0,"⚠ Tema não cadastrado","✔ OK")))</f>
        <v/>
      </c>
    </row>
    <row r="1002">
      <c r="B1002" s="40" t="n"/>
      <c r="C1002" s="41" t="n"/>
      <c r="D1002" s="42" t="n"/>
      <c r="E1002" s="42" t="n"/>
      <c r="F1002" s="43">
        <f>IF(AND(B1002="",D1002=""),"",IF(D1002="","⚠ Escolha o tema",IF(COUNTIF('1. Temas'!$C$8:$C$37,D1002)=0,"⚠ Tema não cadastrado","✔ OK")))</f>
        <v/>
      </c>
    </row>
    <row r="1003">
      <c r="B1003" s="40" t="n"/>
      <c r="C1003" s="41" t="n"/>
      <c r="D1003" s="42" t="n"/>
      <c r="E1003" s="42" t="n"/>
      <c r="F1003" s="43">
        <f>IF(AND(B1003="",D1003=""),"",IF(D1003="","⚠ Escolha o tema",IF(COUNTIF('1. Temas'!$C$8:$C$37,D1003)=0,"⚠ Tema não cadastrado","✔ OK")))</f>
        <v/>
      </c>
    </row>
    <row r="1004">
      <c r="B1004" s="40" t="n"/>
      <c r="C1004" s="41" t="n"/>
      <c r="D1004" s="42" t="n"/>
      <c r="E1004" s="42" t="n"/>
      <c r="F1004" s="43">
        <f>IF(AND(B1004="",D1004=""),"",IF(D1004="","⚠ Escolha o tema",IF(COUNTIF('1. Temas'!$C$8:$C$37,D1004)=0,"⚠ Tema não cadastrado","✔ OK")))</f>
        <v/>
      </c>
    </row>
    <row r="1005">
      <c r="B1005" s="40" t="n"/>
      <c r="C1005" s="41" t="n"/>
      <c r="D1005" s="42" t="n"/>
      <c r="E1005" s="42" t="n"/>
      <c r="F1005" s="43">
        <f>IF(AND(B1005="",D1005=""),"",IF(D1005="","⚠ Escolha o tema",IF(COUNTIF('1. Temas'!$C$8:$C$37,D1005)=0,"⚠ Tema não cadastrado","✔ OK")))</f>
        <v/>
      </c>
    </row>
    <row r="1006">
      <c r="B1006" s="40" t="n"/>
      <c r="C1006" s="41" t="n"/>
      <c r="D1006" s="42" t="n"/>
      <c r="E1006" s="42" t="n"/>
      <c r="F1006" s="43">
        <f>IF(AND(B1006="",D1006=""),"",IF(D1006="","⚠ Escolha o tema",IF(COUNTIF('1. Temas'!$C$8:$C$37,D1006)=0,"⚠ Tema não cadastrado","✔ OK")))</f>
        <v/>
      </c>
    </row>
    <row r="1007">
      <c r="B1007" s="40" t="n"/>
      <c r="C1007" s="41" t="n"/>
      <c r="D1007" s="42" t="n"/>
      <c r="E1007" s="42" t="n"/>
      <c r="F1007" s="43">
        <f>IF(AND(B1007="",D1007=""),"",IF(D1007="","⚠ Escolha o tema",IF(COUNTIF('1. Temas'!$C$8:$C$37,D1007)=0,"⚠ Tema não cadastrado","✔ OK")))</f>
        <v/>
      </c>
    </row>
  </sheetData>
  <autoFilter ref="B7:F1007"/>
  <conditionalFormatting sqref="F8:F1007">
    <cfRule type="expression" priority="1" dxfId="1">
      <formula>LEFT(F8,1)="⚠"</formula>
    </cfRule>
    <cfRule type="expression" priority="2" dxfId="2">
      <formula>LEFT(F8,1)="✔"</formula>
    </cfRule>
  </conditionalFormatting>
  <dataValidations count="2">
    <dataValidation sqref="D8:D1007" showDropDown="0" showInputMessage="0" showErrorMessage="1" allowBlank="1" errorTitle="Tema fora da lista" error="Escolha um tema da lista. Para criar um tema novo, cadastre-o na aba 1. Temas." type="list" errorStyle="warning">
      <formula1>='1. Temas'!$C$8:$C$37</formula1>
    </dataValidation>
    <dataValidation sqref="C8:C1007" showDropDown="0" showInputMessage="0" showErrorMessage="1" allowBlank="0" errorTitle="Data" error="Digite a data no formato dd/mm/aaaa." type="date" errorStyle="warning" operator="greaterThan">
      <formula1>36526</formula1>
    </dataValidation>
  </dataValidations>
  <hyperlinks>
    <hyperlink xmlns:r="http://schemas.openxmlformats.org/officeDocument/2006/relationships" ref="F2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E1B33"/>
    <outlinePr summaryBelow="1" summaryRight="1"/>
    <pageSetUpPr fitToPage="1"/>
  </sheetPr>
  <dimension ref="A1:Z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2" customWidth="1" min="4" max="4"/>
    <col width="12" customWidth="1" min="5" max="5"/>
    <col width="16" customWidth="1" min="6" max="6"/>
    <col width="24" customWidth="1" min="7" max="7"/>
    <col width="3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2" t="inlineStr">
        <is>
          <t>3. Resultado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3" t="inlineStr">
        <is>
          <t>Miller Barros · portfólio ↗</t>
        </is>
      </c>
      <c r="T2" s="1" t="n"/>
    </row>
    <row r="3" ht="22" customHeight="1">
      <c r="A3" s="1" t="n"/>
      <c r="B3" s="4" t="inlineStr">
        <is>
          <t>Ranking dos temas, faixas de prioridade e gráfico de Pareto. Tudo automático.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28" t="inlineStr">
        <is>
          <t>Passo 3 de 3</t>
        </is>
      </c>
      <c r="T3" s="1" t="n"/>
    </row>
    <row r="4" ht="14" customHeight="1"/>
    <row r="5" ht="20" customHeight="1">
      <c r="B5" s="44" t="inlineStr">
        <is>
          <t>Total de chamados</t>
        </is>
      </c>
      <c r="C5" s="45" t="n"/>
      <c r="D5" s="44" t="inlineStr">
        <is>
          <t>Temas com chamados</t>
        </is>
      </c>
      <c r="E5" s="45" t="n"/>
      <c r="F5" s="44" t="inlineStr">
        <is>
          <t>Prioritários 🔴</t>
        </is>
      </c>
      <c r="G5" s="44" t="inlineStr">
        <is>
          <t>Fila nos prioritários</t>
        </is>
      </c>
    </row>
    <row r="6" ht="38" customHeight="1">
      <c r="B6" s="46">
        <f>'1. Temas'!E39</f>
        <v/>
      </c>
      <c r="C6" s="47" t="n"/>
      <c r="D6" s="46">
        <f>COUNTIF('1. Temas'!$L$8:$L$37,"&gt;=0")</f>
        <v/>
      </c>
      <c r="E6" s="47" t="n"/>
      <c r="F6" s="46">
        <f>COUNTIF($G$14:$G$43,"🔴*")</f>
        <v/>
      </c>
      <c r="G6" s="48">
        <f>IF(B6=0,0,SUMIF($G$14:$G$43,"🔴*",$D$14:$D$43)/B6)</f>
        <v/>
      </c>
    </row>
    <row r="8" ht="20" customHeight="1">
      <c r="B8" s="49">
        <f>IF(B6=0,"Cadastre temas na aba 1 e chamados na aba 2 para ver o resultado.",IF(F6=1,"1 tema concentra ","")&amp;IF(F6&gt;1,F6&amp;" de "&amp;D6&amp;" temas concentram ","")&amp;TEXT(G6,"0%")&amp;" dos "&amp;B6&amp;" chamados. É por eles que a correção começa.")</f>
        <v/>
      </c>
      <c r="C8" s="50" t="n"/>
      <c r="D8" s="50" t="n"/>
      <c r="E8" s="50" t="n"/>
      <c r="F8" s="50" t="n"/>
      <c r="G8" s="50" t="n"/>
    </row>
    <row r="9" ht="20" customHeight="1">
      <c r="B9" s="50" t="n"/>
      <c r="C9" s="50" t="n"/>
      <c r="D9" s="50" t="n"/>
      <c r="E9" s="50" t="n"/>
      <c r="F9" s="50" t="n"/>
      <c r="G9" s="50" t="n"/>
    </row>
    <row r="10">
      <c r="B10" s="51">
        <f>IF(COUNTIF('2. Chamados'!$F$8:$F$1007,"⚠*")=0,"","⚠ "&amp;COUNTIF('2. Chamados'!$F$8:$F$1007,"⚠*")&amp;" chamado(s) sem tema válido ficaram fora da análise. Veja a coluna Verificação na aba 2.")</f>
        <v/>
      </c>
    </row>
    <row r="11">
      <c r="B11" s="52" t="inlineStr">
        <is>
          <t>Ranking dos temas</t>
        </is>
      </c>
    </row>
    <row r="13" ht="26" customHeight="1">
      <c r="B13" s="29" t="inlineStr">
        <is>
          <t>#</t>
        </is>
      </c>
      <c r="C13" s="29" t="inlineStr">
        <is>
          <t>Tema</t>
        </is>
      </c>
      <c r="D13" s="29" t="inlineStr">
        <is>
          <t>Chamados</t>
        </is>
      </c>
      <c r="E13" s="29" t="inlineStr">
        <is>
          <t>% do total</t>
        </is>
      </c>
      <c r="F13" s="29" t="inlineStr">
        <is>
          <t>% acumulado</t>
        </is>
      </c>
      <c r="G13" s="29" t="inlineStr">
        <is>
          <t>Faixa</t>
        </is>
      </c>
      <c r="V13" t="inlineStr">
        <is>
          <t>Tema</t>
        </is>
      </c>
      <c r="W13" t="inlineStr">
        <is>
          <t>Prioridade</t>
        </is>
      </c>
      <c r="X13" t="inlineStr">
        <is>
          <t>Demais temas</t>
        </is>
      </c>
      <c r="Y13" t="inlineStr">
        <is>
          <t>% acumulado</t>
        </is>
      </c>
      <c r="Z13" t="inlineStr">
        <is>
          <t>Corte da prioridade</t>
        </is>
      </c>
    </row>
    <row r="14" ht="20" customHeight="1">
      <c r="B14" s="53">
        <f>IF(C14="","",1)</f>
        <v/>
      </c>
      <c r="C14" s="54">
        <f>IF(LARGE('1. Temas'!$L$8:$L$37,1)&lt;0,"",INDEX('1. Temas'!$C$8:$C$37,MATCH(LARGE('1. Temas'!$L$8:$L$37,1),'1. Temas'!$L$8:$L$37,0)))</f>
        <v/>
      </c>
      <c r="D14" s="55">
        <f>IF(C14="","",INDEX('1. Temas'!$E$8:$E$37,MATCH(C14,'1. Temas'!$C$8:$C$37,0)))</f>
        <v/>
      </c>
      <c r="E14" s="56">
        <f>IF(C14="","",D14/$B$6)</f>
        <v/>
      </c>
      <c r="F14" s="56">
        <f>IF(C14="","",E14)</f>
        <v/>
      </c>
      <c r="G14" s="57">
        <f>IF(C14="","",IF(0&lt;'1. Temas'!$J$8,"🔴 Prioridade",IF(0&lt;'1. Temas'!$J$9,"🟡 Planejar","🟢 Atendimento normal")))</f>
        <v/>
      </c>
      <c r="V14">
        <f>IF(C14="","",C14)</f>
        <v/>
      </c>
      <c r="W14">
        <f>IF(LEFT(G14,1)="🔴",D14,"")</f>
        <v/>
      </c>
      <c r="X14">
        <f>IF(OR(C14="",LEFT(G14,1)="🔴"),"",D14)</f>
        <v/>
      </c>
      <c r="Y14">
        <f>IF(C14="","",F14)</f>
        <v/>
      </c>
      <c r="Z14">
        <f>IF(C14="","",'1. Temas'!$J$8)</f>
        <v/>
      </c>
    </row>
    <row r="15" ht="20" customHeight="1">
      <c r="B15" s="53">
        <f>IF(C15="","",2)</f>
        <v/>
      </c>
      <c r="C15" s="54">
        <f>IF(LARGE('1. Temas'!$L$8:$L$37,2)&lt;0,"",INDEX('1. Temas'!$C$8:$C$37,MATCH(LARGE('1. Temas'!$L$8:$L$37,2),'1. Temas'!$L$8:$L$37,0)))</f>
        <v/>
      </c>
      <c r="D15" s="55">
        <f>IF(C15="","",INDEX('1. Temas'!$E$8:$E$37,MATCH(C15,'1. Temas'!$C$8:$C$37,0)))</f>
        <v/>
      </c>
      <c r="E15" s="56">
        <f>IF(C15="","",D15/$B$6)</f>
        <v/>
      </c>
      <c r="F15" s="56">
        <f>IF(C15="","",F14+E15)</f>
        <v/>
      </c>
      <c r="G15" s="57">
        <f>IF(C15="","",IF(F14&lt;'1. Temas'!$J$8,"🔴 Prioridade",IF(F14&lt;'1. Temas'!$J$9,"🟡 Planejar","🟢 Atendimento normal")))</f>
        <v/>
      </c>
      <c r="V15">
        <f>IF(C15="","",C15)</f>
        <v/>
      </c>
      <c r="W15">
        <f>IF(LEFT(G15,1)="🔴",D15,"")</f>
        <v/>
      </c>
      <c r="X15">
        <f>IF(OR(C15="",LEFT(G15,1)="🔴"),"",D15)</f>
        <v/>
      </c>
      <c r="Y15">
        <f>IF(C15="","",F15)</f>
        <v/>
      </c>
      <c r="Z15">
        <f>IF(C15="","",'1. Temas'!$J$8)</f>
        <v/>
      </c>
    </row>
    <row r="16" ht="20" customHeight="1">
      <c r="B16" s="53">
        <f>IF(C16="","",3)</f>
        <v/>
      </c>
      <c r="C16" s="54">
        <f>IF(LARGE('1. Temas'!$L$8:$L$37,3)&lt;0,"",INDEX('1. Temas'!$C$8:$C$37,MATCH(LARGE('1. Temas'!$L$8:$L$37,3),'1. Temas'!$L$8:$L$37,0)))</f>
        <v/>
      </c>
      <c r="D16" s="55">
        <f>IF(C16="","",INDEX('1. Temas'!$E$8:$E$37,MATCH(C16,'1. Temas'!$C$8:$C$37,0)))</f>
        <v/>
      </c>
      <c r="E16" s="56">
        <f>IF(C16="","",D16/$B$6)</f>
        <v/>
      </c>
      <c r="F16" s="56">
        <f>IF(C16="","",F15+E16)</f>
        <v/>
      </c>
      <c r="G16" s="57">
        <f>IF(C16="","",IF(F15&lt;'1. Temas'!$J$8,"🔴 Prioridade",IF(F15&lt;'1. Temas'!$J$9,"🟡 Planejar","🟢 Atendimento normal")))</f>
        <v/>
      </c>
      <c r="V16">
        <f>IF(C16="","",C16)</f>
        <v/>
      </c>
      <c r="W16">
        <f>IF(LEFT(G16,1)="🔴",D16,"")</f>
        <v/>
      </c>
      <c r="X16">
        <f>IF(OR(C16="",LEFT(G16,1)="🔴"),"",D16)</f>
        <v/>
      </c>
      <c r="Y16">
        <f>IF(C16="","",F16)</f>
        <v/>
      </c>
      <c r="Z16">
        <f>IF(C16="","",'1. Temas'!$J$8)</f>
        <v/>
      </c>
    </row>
    <row r="17" ht="20" customHeight="1">
      <c r="B17" s="53">
        <f>IF(C17="","",4)</f>
        <v/>
      </c>
      <c r="C17" s="54">
        <f>IF(LARGE('1. Temas'!$L$8:$L$37,4)&lt;0,"",INDEX('1. Temas'!$C$8:$C$37,MATCH(LARGE('1. Temas'!$L$8:$L$37,4),'1. Temas'!$L$8:$L$37,0)))</f>
        <v/>
      </c>
      <c r="D17" s="55">
        <f>IF(C17="","",INDEX('1. Temas'!$E$8:$E$37,MATCH(C17,'1. Temas'!$C$8:$C$37,0)))</f>
        <v/>
      </c>
      <c r="E17" s="56">
        <f>IF(C17="","",D17/$B$6)</f>
        <v/>
      </c>
      <c r="F17" s="56">
        <f>IF(C17="","",F16+E17)</f>
        <v/>
      </c>
      <c r="G17" s="57">
        <f>IF(C17="","",IF(F16&lt;'1. Temas'!$J$8,"🔴 Prioridade",IF(F16&lt;'1. Temas'!$J$9,"🟡 Planejar","🟢 Atendimento normal")))</f>
        <v/>
      </c>
      <c r="V17">
        <f>IF(C17="","",C17)</f>
        <v/>
      </c>
      <c r="W17">
        <f>IF(LEFT(G17,1)="🔴",D17,"")</f>
        <v/>
      </c>
      <c r="X17">
        <f>IF(OR(C17="",LEFT(G17,1)="🔴"),"",D17)</f>
        <v/>
      </c>
      <c r="Y17">
        <f>IF(C17="","",F17)</f>
        <v/>
      </c>
      <c r="Z17">
        <f>IF(C17="","",'1. Temas'!$J$8)</f>
        <v/>
      </c>
    </row>
    <row r="18" ht="20" customHeight="1">
      <c r="B18" s="53">
        <f>IF(C18="","",5)</f>
        <v/>
      </c>
      <c r="C18" s="54">
        <f>IF(LARGE('1. Temas'!$L$8:$L$37,5)&lt;0,"",INDEX('1. Temas'!$C$8:$C$37,MATCH(LARGE('1. Temas'!$L$8:$L$37,5),'1. Temas'!$L$8:$L$37,0)))</f>
        <v/>
      </c>
      <c r="D18" s="55">
        <f>IF(C18="","",INDEX('1. Temas'!$E$8:$E$37,MATCH(C18,'1. Temas'!$C$8:$C$37,0)))</f>
        <v/>
      </c>
      <c r="E18" s="56">
        <f>IF(C18="","",D18/$B$6)</f>
        <v/>
      </c>
      <c r="F18" s="56">
        <f>IF(C18="","",F17+E18)</f>
        <v/>
      </c>
      <c r="G18" s="57">
        <f>IF(C18="","",IF(F17&lt;'1. Temas'!$J$8,"🔴 Prioridade",IF(F17&lt;'1. Temas'!$J$9,"🟡 Planejar","🟢 Atendimento normal")))</f>
        <v/>
      </c>
      <c r="V18">
        <f>IF(C18="","",C18)</f>
        <v/>
      </c>
      <c r="W18">
        <f>IF(LEFT(G18,1)="🔴",D18,"")</f>
        <v/>
      </c>
      <c r="X18">
        <f>IF(OR(C18="",LEFT(G18,1)="🔴"),"",D18)</f>
        <v/>
      </c>
      <c r="Y18">
        <f>IF(C18="","",F18)</f>
        <v/>
      </c>
      <c r="Z18">
        <f>IF(C18="","",'1. Temas'!$J$8)</f>
        <v/>
      </c>
    </row>
    <row r="19" ht="20" customHeight="1">
      <c r="B19" s="53">
        <f>IF(C19="","",6)</f>
        <v/>
      </c>
      <c r="C19" s="54">
        <f>IF(LARGE('1. Temas'!$L$8:$L$37,6)&lt;0,"",INDEX('1. Temas'!$C$8:$C$37,MATCH(LARGE('1. Temas'!$L$8:$L$37,6),'1. Temas'!$L$8:$L$37,0)))</f>
        <v/>
      </c>
      <c r="D19" s="55">
        <f>IF(C19="","",INDEX('1. Temas'!$E$8:$E$37,MATCH(C19,'1. Temas'!$C$8:$C$37,0)))</f>
        <v/>
      </c>
      <c r="E19" s="56">
        <f>IF(C19="","",D19/$B$6)</f>
        <v/>
      </c>
      <c r="F19" s="56">
        <f>IF(C19="","",F18+E19)</f>
        <v/>
      </c>
      <c r="G19" s="57">
        <f>IF(C19="","",IF(F18&lt;'1. Temas'!$J$8,"🔴 Prioridade",IF(F18&lt;'1. Temas'!$J$9,"🟡 Planejar","🟢 Atendimento normal")))</f>
        <v/>
      </c>
      <c r="V19">
        <f>IF(C19="","",C19)</f>
        <v/>
      </c>
      <c r="W19">
        <f>IF(LEFT(G19,1)="🔴",D19,"")</f>
        <v/>
      </c>
      <c r="X19">
        <f>IF(OR(C19="",LEFT(G19,1)="🔴"),"",D19)</f>
        <v/>
      </c>
      <c r="Y19">
        <f>IF(C19="","",F19)</f>
        <v/>
      </c>
      <c r="Z19">
        <f>IF(C19="","",'1. Temas'!$J$8)</f>
        <v/>
      </c>
    </row>
    <row r="20" ht="20" customHeight="1">
      <c r="B20" s="53">
        <f>IF(C20="","",7)</f>
        <v/>
      </c>
      <c r="C20" s="54">
        <f>IF(LARGE('1. Temas'!$L$8:$L$37,7)&lt;0,"",INDEX('1. Temas'!$C$8:$C$37,MATCH(LARGE('1. Temas'!$L$8:$L$37,7),'1. Temas'!$L$8:$L$37,0)))</f>
        <v/>
      </c>
      <c r="D20" s="55">
        <f>IF(C20="","",INDEX('1. Temas'!$E$8:$E$37,MATCH(C20,'1. Temas'!$C$8:$C$37,0)))</f>
        <v/>
      </c>
      <c r="E20" s="56">
        <f>IF(C20="","",D20/$B$6)</f>
        <v/>
      </c>
      <c r="F20" s="56">
        <f>IF(C20="","",F19+E20)</f>
        <v/>
      </c>
      <c r="G20" s="57">
        <f>IF(C20="","",IF(F19&lt;'1. Temas'!$J$8,"🔴 Prioridade",IF(F19&lt;'1. Temas'!$J$9,"🟡 Planejar","🟢 Atendimento normal")))</f>
        <v/>
      </c>
      <c r="V20">
        <f>IF(C20="","",C20)</f>
        <v/>
      </c>
      <c r="W20">
        <f>IF(LEFT(G20,1)="🔴",D20,"")</f>
        <v/>
      </c>
      <c r="X20">
        <f>IF(OR(C20="",LEFT(G20,1)="🔴"),"",D20)</f>
        <v/>
      </c>
      <c r="Y20">
        <f>IF(C20="","",F20)</f>
        <v/>
      </c>
      <c r="Z20">
        <f>IF(C20="","",'1. Temas'!$J$8)</f>
        <v/>
      </c>
    </row>
    <row r="21" ht="20" customHeight="1">
      <c r="B21" s="53">
        <f>IF(C21="","",8)</f>
        <v/>
      </c>
      <c r="C21" s="54">
        <f>IF(LARGE('1. Temas'!$L$8:$L$37,8)&lt;0,"",INDEX('1. Temas'!$C$8:$C$37,MATCH(LARGE('1. Temas'!$L$8:$L$37,8),'1. Temas'!$L$8:$L$37,0)))</f>
        <v/>
      </c>
      <c r="D21" s="55">
        <f>IF(C21="","",INDEX('1. Temas'!$E$8:$E$37,MATCH(C21,'1. Temas'!$C$8:$C$37,0)))</f>
        <v/>
      </c>
      <c r="E21" s="56">
        <f>IF(C21="","",D21/$B$6)</f>
        <v/>
      </c>
      <c r="F21" s="56">
        <f>IF(C21="","",F20+E21)</f>
        <v/>
      </c>
      <c r="G21" s="57">
        <f>IF(C21="","",IF(F20&lt;'1. Temas'!$J$8,"🔴 Prioridade",IF(F20&lt;'1. Temas'!$J$9,"🟡 Planejar","🟢 Atendimento normal")))</f>
        <v/>
      </c>
      <c r="V21">
        <f>IF(C21="","",C21)</f>
        <v/>
      </c>
      <c r="W21">
        <f>IF(LEFT(G21,1)="🔴",D21,"")</f>
        <v/>
      </c>
      <c r="X21">
        <f>IF(OR(C21="",LEFT(G21,1)="🔴"),"",D21)</f>
        <v/>
      </c>
      <c r="Y21">
        <f>IF(C21="","",F21)</f>
        <v/>
      </c>
      <c r="Z21">
        <f>IF(C21="","",'1. Temas'!$J$8)</f>
        <v/>
      </c>
    </row>
    <row r="22" ht="20" customHeight="1">
      <c r="B22" s="53">
        <f>IF(C22="","",9)</f>
        <v/>
      </c>
      <c r="C22" s="54">
        <f>IF(LARGE('1. Temas'!$L$8:$L$37,9)&lt;0,"",INDEX('1. Temas'!$C$8:$C$37,MATCH(LARGE('1. Temas'!$L$8:$L$37,9),'1. Temas'!$L$8:$L$37,0)))</f>
        <v/>
      </c>
      <c r="D22" s="55">
        <f>IF(C22="","",INDEX('1. Temas'!$E$8:$E$37,MATCH(C22,'1. Temas'!$C$8:$C$37,0)))</f>
        <v/>
      </c>
      <c r="E22" s="56">
        <f>IF(C22="","",D22/$B$6)</f>
        <v/>
      </c>
      <c r="F22" s="56">
        <f>IF(C22="","",F21+E22)</f>
        <v/>
      </c>
      <c r="G22" s="57">
        <f>IF(C22="","",IF(F21&lt;'1. Temas'!$J$8,"🔴 Prioridade",IF(F21&lt;'1. Temas'!$J$9,"🟡 Planejar","🟢 Atendimento normal")))</f>
        <v/>
      </c>
      <c r="V22">
        <f>IF(C22="","",C22)</f>
        <v/>
      </c>
      <c r="W22">
        <f>IF(LEFT(G22,1)="🔴",D22,"")</f>
        <v/>
      </c>
      <c r="X22">
        <f>IF(OR(C22="",LEFT(G22,1)="🔴"),"",D22)</f>
        <v/>
      </c>
      <c r="Y22">
        <f>IF(C22="","",F22)</f>
        <v/>
      </c>
      <c r="Z22">
        <f>IF(C22="","",'1. Temas'!$J$8)</f>
        <v/>
      </c>
    </row>
    <row r="23" ht="20" customHeight="1">
      <c r="B23" s="53">
        <f>IF(C23="","",10)</f>
        <v/>
      </c>
      <c r="C23" s="54">
        <f>IF(LARGE('1. Temas'!$L$8:$L$37,10)&lt;0,"",INDEX('1. Temas'!$C$8:$C$37,MATCH(LARGE('1. Temas'!$L$8:$L$37,10),'1. Temas'!$L$8:$L$37,0)))</f>
        <v/>
      </c>
      <c r="D23" s="55">
        <f>IF(C23="","",INDEX('1. Temas'!$E$8:$E$37,MATCH(C23,'1. Temas'!$C$8:$C$37,0)))</f>
        <v/>
      </c>
      <c r="E23" s="56">
        <f>IF(C23="","",D23/$B$6)</f>
        <v/>
      </c>
      <c r="F23" s="56">
        <f>IF(C23="","",F22+E23)</f>
        <v/>
      </c>
      <c r="G23" s="57">
        <f>IF(C23="","",IF(F22&lt;'1. Temas'!$J$8,"🔴 Prioridade",IF(F22&lt;'1. Temas'!$J$9,"🟡 Planejar","🟢 Atendimento normal")))</f>
        <v/>
      </c>
      <c r="V23">
        <f>IF(C23="","",C23)</f>
        <v/>
      </c>
      <c r="W23">
        <f>IF(LEFT(G23,1)="🔴",D23,"")</f>
        <v/>
      </c>
      <c r="X23">
        <f>IF(OR(C23="",LEFT(G23,1)="🔴"),"",D23)</f>
        <v/>
      </c>
      <c r="Y23">
        <f>IF(C23="","",F23)</f>
        <v/>
      </c>
      <c r="Z23">
        <f>IF(C23="","",'1. Temas'!$J$8)</f>
        <v/>
      </c>
    </row>
    <row r="24" ht="20" customHeight="1">
      <c r="B24" s="53">
        <f>IF(C24="","",11)</f>
        <v/>
      </c>
      <c r="C24" s="54">
        <f>IF(LARGE('1. Temas'!$L$8:$L$37,11)&lt;0,"",INDEX('1. Temas'!$C$8:$C$37,MATCH(LARGE('1. Temas'!$L$8:$L$37,11),'1. Temas'!$L$8:$L$37,0)))</f>
        <v/>
      </c>
      <c r="D24" s="55">
        <f>IF(C24="","",INDEX('1. Temas'!$E$8:$E$37,MATCH(C24,'1. Temas'!$C$8:$C$37,0)))</f>
        <v/>
      </c>
      <c r="E24" s="56">
        <f>IF(C24="","",D24/$B$6)</f>
        <v/>
      </c>
      <c r="F24" s="56">
        <f>IF(C24="","",F23+E24)</f>
        <v/>
      </c>
      <c r="G24" s="57">
        <f>IF(C24="","",IF(F23&lt;'1. Temas'!$J$8,"🔴 Prioridade",IF(F23&lt;'1. Temas'!$J$9,"🟡 Planejar","🟢 Atendimento normal")))</f>
        <v/>
      </c>
      <c r="V24">
        <f>IF(C24="","",C24)</f>
        <v/>
      </c>
      <c r="W24">
        <f>IF(LEFT(G24,1)="🔴",D24,"")</f>
        <v/>
      </c>
      <c r="X24">
        <f>IF(OR(C24="",LEFT(G24,1)="🔴"),"",D24)</f>
        <v/>
      </c>
      <c r="Y24">
        <f>IF(C24="","",F24)</f>
        <v/>
      </c>
      <c r="Z24">
        <f>IF(C24="","",'1. Temas'!$J$8)</f>
        <v/>
      </c>
    </row>
    <row r="25" ht="20" customHeight="1">
      <c r="B25" s="53">
        <f>IF(C25="","",12)</f>
        <v/>
      </c>
      <c r="C25" s="54">
        <f>IF(LARGE('1. Temas'!$L$8:$L$37,12)&lt;0,"",INDEX('1. Temas'!$C$8:$C$37,MATCH(LARGE('1. Temas'!$L$8:$L$37,12),'1. Temas'!$L$8:$L$37,0)))</f>
        <v/>
      </c>
      <c r="D25" s="55">
        <f>IF(C25="","",INDEX('1. Temas'!$E$8:$E$37,MATCH(C25,'1. Temas'!$C$8:$C$37,0)))</f>
        <v/>
      </c>
      <c r="E25" s="56">
        <f>IF(C25="","",D25/$B$6)</f>
        <v/>
      </c>
      <c r="F25" s="56">
        <f>IF(C25="","",F24+E25)</f>
        <v/>
      </c>
      <c r="G25" s="57">
        <f>IF(C25="","",IF(F24&lt;'1. Temas'!$J$8,"🔴 Prioridade",IF(F24&lt;'1. Temas'!$J$9,"🟡 Planejar","🟢 Atendimento normal")))</f>
        <v/>
      </c>
      <c r="I25" s="37" t="inlineStr">
        <is>
          <t>Como as faixas são definidas: um tema é 🔴 quando o acumulado antes dele ainda não chegou ao corte da prioridade (80%). Assim, o tema que cruza os 80% também entra como prioridade.</t>
        </is>
      </c>
      <c r="V25">
        <f>IF(C25="","",C25)</f>
        <v/>
      </c>
      <c r="W25">
        <f>IF(LEFT(G25,1)="🔴",D25,"")</f>
        <v/>
      </c>
      <c r="X25">
        <f>IF(OR(C25="",LEFT(G25,1)="🔴"),"",D25)</f>
        <v/>
      </c>
      <c r="Y25">
        <f>IF(C25="","",F25)</f>
        <v/>
      </c>
      <c r="Z25">
        <f>IF(C25="","",'1. Temas'!$J$8)</f>
        <v/>
      </c>
    </row>
    <row r="26" ht="20" customHeight="1">
      <c r="B26" s="53">
        <f>IF(C26="","",13)</f>
        <v/>
      </c>
      <c r="C26" s="54">
        <f>IF(LARGE('1. Temas'!$L$8:$L$37,13)&lt;0,"",INDEX('1. Temas'!$C$8:$C$37,MATCH(LARGE('1. Temas'!$L$8:$L$37,13),'1. Temas'!$L$8:$L$37,0)))</f>
        <v/>
      </c>
      <c r="D26" s="55">
        <f>IF(C26="","",INDEX('1. Temas'!$E$8:$E$37,MATCH(C26,'1. Temas'!$C$8:$C$37,0)))</f>
        <v/>
      </c>
      <c r="E26" s="56">
        <f>IF(C26="","",D26/$B$6)</f>
        <v/>
      </c>
      <c r="F26" s="56">
        <f>IF(C26="","",F25+E26)</f>
        <v/>
      </c>
      <c r="G26" s="57">
        <f>IF(C26="","",IF(F25&lt;'1. Temas'!$J$8,"🔴 Prioridade",IF(F25&lt;'1. Temas'!$J$9,"🟡 Planejar","🟢 Atendimento normal")))</f>
        <v/>
      </c>
      <c r="I26" s="37" t="inlineStr">
        <is>
          <t>Cenário fictício de exemplo. Apague os dados das abas 1 e 2 para usar com os seus.</t>
        </is>
      </c>
      <c r="V26">
        <f>IF(C26="","",C26)</f>
        <v/>
      </c>
      <c r="W26">
        <f>IF(LEFT(G26,1)="🔴",D26,"")</f>
        <v/>
      </c>
      <c r="X26">
        <f>IF(OR(C26="",LEFT(G26,1)="🔴"),"",D26)</f>
        <v/>
      </c>
      <c r="Y26">
        <f>IF(C26="","",F26)</f>
        <v/>
      </c>
      <c r="Z26">
        <f>IF(C26="","",'1. Temas'!$J$8)</f>
        <v/>
      </c>
    </row>
    <row r="27" ht="20" customHeight="1">
      <c r="B27" s="53">
        <f>IF(C27="","",14)</f>
        <v/>
      </c>
      <c r="C27" s="54">
        <f>IF(LARGE('1. Temas'!$L$8:$L$37,14)&lt;0,"",INDEX('1. Temas'!$C$8:$C$37,MATCH(LARGE('1. Temas'!$L$8:$L$37,14),'1. Temas'!$L$8:$L$37,0)))</f>
        <v/>
      </c>
      <c r="D27" s="55">
        <f>IF(C27="","",INDEX('1. Temas'!$E$8:$E$37,MATCH(C27,'1. Temas'!$C$8:$C$37,0)))</f>
        <v/>
      </c>
      <c r="E27" s="56">
        <f>IF(C27="","",D27/$B$6)</f>
        <v/>
      </c>
      <c r="F27" s="56">
        <f>IF(C27="","",F26+E27)</f>
        <v/>
      </c>
      <c r="G27" s="57">
        <f>IF(C27="","",IF(F26&lt;'1. Temas'!$J$8,"🔴 Prioridade",IF(F26&lt;'1. Temas'!$J$9,"🟡 Planejar","🟢 Atendimento normal")))</f>
        <v/>
      </c>
      <c r="V27">
        <f>IF(C27="","",C27)</f>
        <v/>
      </c>
      <c r="W27">
        <f>IF(LEFT(G27,1)="🔴",D27,"")</f>
        <v/>
      </c>
      <c r="X27">
        <f>IF(OR(C27="",LEFT(G27,1)="🔴"),"",D27)</f>
        <v/>
      </c>
      <c r="Y27">
        <f>IF(C27="","",F27)</f>
        <v/>
      </c>
      <c r="Z27">
        <f>IF(C27="","",'1. Temas'!$J$8)</f>
        <v/>
      </c>
    </row>
    <row r="28" ht="20" customHeight="1">
      <c r="B28" s="53">
        <f>IF(C28="","",15)</f>
        <v/>
      </c>
      <c r="C28" s="54">
        <f>IF(LARGE('1. Temas'!$L$8:$L$37,15)&lt;0,"",INDEX('1. Temas'!$C$8:$C$37,MATCH(LARGE('1. Temas'!$L$8:$L$37,15),'1. Temas'!$L$8:$L$37,0)))</f>
        <v/>
      </c>
      <c r="D28" s="55">
        <f>IF(C28="","",INDEX('1. Temas'!$E$8:$E$37,MATCH(C28,'1. Temas'!$C$8:$C$37,0)))</f>
        <v/>
      </c>
      <c r="E28" s="56">
        <f>IF(C28="","",D28/$B$6)</f>
        <v/>
      </c>
      <c r="F28" s="56">
        <f>IF(C28="","",F27+E28)</f>
        <v/>
      </c>
      <c r="G28" s="57">
        <f>IF(C28="","",IF(F27&lt;'1. Temas'!$J$8,"🔴 Prioridade",IF(F27&lt;'1. Temas'!$J$9,"🟡 Planejar","🟢 Atendimento normal")))</f>
        <v/>
      </c>
      <c r="V28">
        <f>IF(C28="","",C28)</f>
        <v/>
      </c>
      <c r="W28">
        <f>IF(LEFT(G28,1)="🔴",D28,"")</f>
        <v/>
      </c>
      <c r="X28">
        <f>IF(OR(C28="",LEFT(G28,1)="🔴"),"",D28)</f>
        <v/>
      </c>
      <c r="Y28">
        <f>IF(C28="","",F28)</f>
        <v/>
      </c>
      <c r="Z28">
        <f>IF(C28="","",'1. Temas'!$J$8)</f>
        <v/>
      </c>
    </row>
    <row r="29" ht="20" customHeight="1">
      <c r="B29" s="53">
        <f>IF(C29="","",16)</f>
        <v/>
      </c>
      <c r="C29" s="54">
        <f>IF(LARGE('1. Temas'!$L$8:$L$37,16)&lt;0,"",INDEX('1. Temas'!$C$8:$C$37,MATCH(LARGE('1. Temas'!$L$8:$L$37,16),'1. Temas'!$L$8:$L$37,0)))</f>
        <v/>
      </c>
      <c r="D29" s="55">
        <f>IF(C29="","",INDEX('1. Temas'!$E$8:$E$37,MATCH(C29,'1. Temas'!$C$8:$C$37,0)))</f>
        <v/>
      </c>
      <c r="E29" s="56">
        <f>IF(C29="","",D29/$B$6)</f>
        <v/>
      </c>
      <c r="F29" s="56">
        <f>IF(C29="","",F28+E29)</f>
        <v/>
      </c>
      <c r="G29" s="57">
        <f>IF(C29="","",IF(F28&lt;'1. Temas'!$J$8,"🔴 Prioridade",IF(F28&lt;'1. Temas'!$J$9,"🟡 Planejar","🟢 Atendimento normal")))</f>
        <v/>
      </c>
      <c r="V29">
        <f>IF(C29="","",C29)</f>
        <v/>
      </c>
      <c r="W29">
        <f>IF(LEFT(G29,1)="🔴",D29,"")</f>
        <v/>
      </c>
      <c r="X29">
        <f>IF(OR(C29="",LEFT(G29,1)="🔴"),"",D29)</f>
        <v/>
      </c>
      <c r="Y29">
        <f>IF(C29="","",F29)</f>
        <v/>
      </c>
      <c r="Z29">
        <f>IF(C29="","",'1. Temas'!$J$8)</f>
        <v/>
      </c>
    </row>
    <row r="30" ht="20" customHeight="1">
      <c r="B30" s="53">
        <f>IF(C30="","",17)</f>
        <v/>
      </c>
      <c r="C30" s="54">
        <f>IF(LARGE('1. Temas'!$L$8:$L$37,17)&lt;0,"",INDEX('1. Temas'!$C$8:$C$37,MATCH(LARGE('1. Temas'!$L$8:$L$37,17),'1. Temas'!$L$8:$L$37,0)))</f>
        <v/>
      </c>
      <c r="D30" s="55">
        <f>IF(C30="","",INDEX('1. Temas'!$E$8:$E$37,MATCH(C30,'1. Temas'!$C$8:$C$37,0)))</f>
        <v/>
      </c>
      <c r="E30" s="56">
        <f>IF(C30="","",D30/$B$6)</f>
        <v/>
      </c>
      <c r="F30" s="56">
        <f>IF(C30="","",F29+E30)</f>
        <v/>
      </c>
      <c r="G30" s="57">
        <f>IF(C30="","",IF(F29&lt;'1. Temas'!$J$8,"🔴 Prioridade",IF(F29&lt;'1. Temas'!$J$9,"🟡 Planejar","🟢 Atendimento normal")))</f>
        <v/>
      </c>
      <c r="V30">
        <f>IF(C30="","",C30)</f>
        <v/>
      </c>
      <c r="W30">
        <f>IF(LEFT(G30,1)="🔴",D30,"")</f>
        <v/>
      </c>
      <c r="X30">
        <f>IF(OR(C30="",LEFT(G30,1)="🔴"),"",D30)</f>
        <v/>
      </c>
      <c r="Y30">
        <f>IF(C30="","",F30)</f>
        <v/>
      </c>
      <c r="Z30">
        <f>IF(C30="","",'1. Temas'!$J$8)</f>
        <v/>
      </c>
    </row>
    <row r="31" ht="20" customHeight="1">
      <c r="B31" s="53">
        <f>IF(C31="","",18)</f>
        <v/>
      </c>
      <c r="C31" s="54">
        <f>IF(LARGE('1. Temas'!$L$8:$L$37,18)&lt;0,"",INDEX('1. Temas'!$C$8:$C$37,MATCH(LARGE('1. Temas'!$L$8:$L$37,18),'1. Temas'!$L$8:$L$37,0)))</f>
        <v/>
      </c>
      <c r="D31" s="55">
        <f>IF(C31="","",INDEX('1. Temas'!$E$8:$E$37,MATCH(C31,'1. Temas'!$C$8:$C$37,0)))</f>
        <v/>
      </c>
      <c r="E31" s="56">
        <f>IF(C31="","",D31/$B$6)</f>
        <v/>
      </c>
      <c r="F31" s="56">
        <f>IF(C31="","",F30+E31)</f>
        <v/>
      </c>
      <c r="G31" s="57">
        <f>IF(C31="","",IF(F30&lt;'1. Temas'!$J$8,"🔴 Prioridade",IF(F30&lt;'1. Temas'!$J$9,"🟡 Planejar","🟢 Atendimento normal")))</f>
        <v/>
      </c>
      <c r="V31">
        <f>IF(C31="","",C31)</f>
        <v/>
      </c>
      <c r="W31">
        <f>IF(LEFT(G31,1)="🔴",D31,"")</f>
        <v/>
      </c>
      <c r="X31">
        <f>IF(OR(C31="",LEFT(G31,1)="🔴"),"",D31)</f>
        <v/>
      </c>
      <c r="Y31">
        <f>IF(C31="","",F31)</f>
        <v/>
      </c>
      <c r="Z31">
        <f>IF(C31="","",'1. Temas'!$J$8)</f>
        <v/>
      </c>
    </row>
    <row r="32" ht="20" customHeight="1">
      <c r="B32" s="53">
        <f>IF(C32="","",19)</f>
        <v/>
      </c>
      <c r="C32" s="54">
        <f>IF(LARGE('1. Temas'!$L$8:$L$37,19)&lt;0,"",INDEX('1. Temas'!$C$8:$C$37,MATCH(LARGE('1. Temas'!$L$8:$L$37,19),'1. Temas'!$L$8:$L$37,0)))</f>
        <v/>
      </c>
      <c r="D32" s="55">
        <f>IF(C32="","",INDEX('1. Temas'!$E$8:$E$37,MATCH(C32,'1. Temas'!$C$8:$C$37,0)))</f>
        <v/>
      </c>
      <c r="E32" s="56">
        <f>IF(C32="","",D32/$B$6)</f>
        <v/>
      </c>
      <c r="F32" s="56">
        <f>IF(C32="","",F31+E32)</f>
        <v/>
      </c>
      <c r="G32" s="57">
        <f>IF(C32="","",IF(F31&lt;'1. Temas'!$J$8,"🔴 Prioridade",IF(F31&lt;'1. Temas'!$J$9,"🟡 Planejar","🟢 Atendimento normal")))</f>
        <v/>
      </c>
      <c r="V32">
        <f>IF(C32="","",C32)</f>
        <v/>
      </c>
      <c r="W32">
        <f>IF(LEFT(G32,1)="🔴",D32,"")</f>
        <v/>
      </c>
      <c r="X32">
        <f>IF(OR(C32="",LEFT(G32,1)="🔴"),"",D32)</f>
        <v/>
      </c>
      <c r="Y32">
        <f>IF(C32="","",F32)</f>
        <v/>
      </c>
      <c r="Z32">
        <f>IF(C32="","",'1. Temas'!$J$8)</f>
        <v/>
      </c>
    </row>
    <row r="33" ht="20" customHeight="1">
      <c r="B33" s="53">
        <f>IF(C33="","",20)</f>
        <v/>
      </c>
      <c r="C33" s="54">
        <f>IF(LARGE('1. Temas'!$L$8:$L$37,20)&lt;0,"",INDEX('1. Temas'!$C$8:$C$37,MATCH(LARGE('1. Temas'!$L$8:$L$37,20),'1. Temas'!$L$8:$L$37,0)))</f>
        <v/>
      </c>
      <c r="D33" s="55">
        <f>IF(C33="","",INDEX('1. Temas'!$E$8:$E$37,MATCH(C33,'1. Temas'!$C$8:$C$37,0)))</f>
        <v/>
      </c>
      <c r="E33" s="56">
        <f>IF(C33="","",D33/$B$6)</f>
        <v/>
      </c>
      <c r="F33" s="56">
        <f>IF(C33="","",F32+E33)</f>
        <v/>
      </c>
      <c r="G33" s="57">
        <f>IF(C33="","",IF(F32&lt;'1. Temas'!$J$8,"🔴 Prioridade",IF(F32&lt;'1. Temas'!$J$9,"🟡 Planejar","🟢 Atendimento normal")))</f>
        <v/>
      </c>
      <c r="V33">
        <f>IF(C33="","",C33)</f>
        <v/>
      </c>
      <c r="W33">
        <f>IF(LEFT(G33,1)="🔴",D33,"")</f>
        <v/>
      </c>
      <c r="X33">
        <f>IF(OR(C33="",LEFT(G33,1)="🔴"),"",D33)</f>
        <v/>
      </c>
      <c r="Y33">
        <f>IF(C33="","",F33)</f>
        <v/>
      </c>
      <c r="Z33">
        <f>IF(C33="","",'1. Temas'!$J$8)</f>
        <v/>
      </c>
    </row>
    <row r="34" ht="20" customHeight="1">
      <c r="B34" s="53">
        <f>IF(C34="","",21)</f>
        <v/>
      </c>
      <c r="C34" s="54">
        <f>IF(LARGE('1. Temas'!$L$8:$L$37,21)&lt;0,"",INDEX('1. Temas'!$C$8:$C$37,MATCH(LARGE('1. Temas'!$L$8:$L$37,21),'1. Temas'!$L$8:$L$37,0)))</f>
        <v/>
      </c>
      <c r="D34" s="55">
        <f>IF(C34="","",INDEX('1. Temas'!$E$8:$E$37,MATCH(C34,'1. Temas'!$C$8:$C$37,0)))</f>
        <v/>
      </c>
      <c r="E34" s="56">
        <f>IF(C34="","",D34/$B$6)</f>
        <v/>
      </c>
      <c r="F34" s="56">
        <f>IF(C34="","",F33+E34)</f>
        <v/>
      </c>
      <c r="G34" s="57">
        <f>IF(C34="","",IF(F33&lt;'1. Temas'!$J$8,"🔴 Prioridade",IF(F33&lt;'1. Temas'!$J$9,"🟡 Planejar","🟢 Atendimento normal")))</f>
        <v/>
      </c>
      <c r="V34">
        <f>IF(C34="","",C34)</f>
        <v/>
      </c>
      <c r="W34">
        <f>IF(LEFT(G34,1)="🔴",D34,"")</f>
        <v/>
      </c>
      <c r="X34">
        <f>IF(OR(C34="",LEFT(G34,1)="🔴"),"",D34)</f>
        <v/>
      </c>
      <c r="Y34">
        <f>IF(C34="","",F34)</f>
        <v/>
      </c>
      <c r="Z34">
        <f>IF(C34="","",'1. Temas'!$J$8)</f>
        <v/>
      </c>
    </row>
    <row r="35" ht="20" customHeight="1">
      <c r="B35" s="53">
        <f>IF(C35="","",22)</f>
        <v/>
      </c>
      <c r="C35" s="54">
        <f>IF(LARGE('1. Temas'!$L$8:$L$37,22)&lt;0,"",INDEX('1. Temas'!$C$8:$C$37,MATCH(LARGE('1. Temas'!$L$8:$L$37,22),'1. Temas'!$L$8:$L$37,0)))</f>
        <v/>
      </c>
      <c r="D35" s="55">
        <f>IF(C35="","",INDEX('1. Temas'!$E$8:$E$37,MATCH(C35,'1. Temas'!$C$8:$C$37,0)))</f>
        <v/>
      </c>
      <c r="E35" s="56">
        <f>IF(C35="","",D35/$B$6)</f>
        <v/>
      </c>
      <c r="F35" s="56">
        <f>IF(C35="","",F34+E35)</f>
        <v/>
      </c>
      <c r="G35" s="57">
        <f>IF(C35="","",IF(F34&lt;'1. Temas'!$J$8,"🔴 Prioridade",IF(F34&lt;'1. Temas'!$J$9,"🟡 Planejar","🟢 Atendimento normal")))</f>
        <v/>
      </c>
      <c r="V35">
        <f>IF(C35="","",C35)</f>
        <v/>
      </c>
      <c r="W35">
        <f>IF(LEFT(G35,1)="🔴",D35,"")</f>
        <v/>
      </c>
      <c r="X35">
        <f>IF(OR(C35="",LEFT(G35,1)="🔴"),"",D35)</f>
        <v/>
      </c>
      <c r="Y35">
        <f>IF(C35="","",F35)</f>
        <v/>
      </c>
      <c r="Z35">
        <f>IF(C35="","",'1. Temas'!$J$8)</f>
        <v/>
      </c>
    </row>
    <row r="36" ht="20" customHeight="1">
      <c r="B36" s="53">
        <f>IF(C36="","",23)</f>
        <v/>
      </c>
      <c r="C36" s="54">
        <f>IF(LARGE('1. Temas'!$L$8:$L$37,23)&lt;0,"",INDEX('1. Temas'!$C$8:$C$37,MATCH(LARGE('1. Temas'!$L$8:$L$37,23),'1. Temas'!$L$8:$L$37,0)))</f>
        <v/>
      </c>
      <c r="D36" s="55">
        <f>IF(C36="","",INDEX('1. Temas'!$E$8:$E$37,MATCH(C36,'1. Temas'!$C$8:$C$37,0)))</f>
        <v/>
      </c>
      <c r="E36" s="56">
        <f>IF(C36="","",D36/$B$6)</f>
        <v/>
      </c>
      <c r="F36" s="56">
        <f>IF(C36="","",F35+E36)</f>
        <v/>
      </c>
      <c r="G36" s="57">
        <f>IF(C36="","",IF(F35&lt;'1. Temas'!$J$8,"🔴 Prioridade",IF(F35&lt;'1. Temas'!$J$9,"🟡 Planejar","🟢 Atendimento normal")))</f>
        <v/>
      </c>
      <c r="V36">
        <f>IF(C36="","",C36)</f>
        <v/>
      </c>
      <c r="W36">
        <f>IF(LEFT(G36,1)="🔴",D36,"")</f>
        <v/>
      </c>
      <c r="X36">
        <f>IF(OR(C36="",LEFT(G36,1)="🔴"),"",D36)</f>
        <v/>
      </c>
      <c r="Y36">
        <f>IF(C36="","",F36)</f>
        <v/>
      </c>
      <c r="Z36">
        <f>IF(C36="","",'1. Temas'!$J$8)</f>
        <v/>
      </c>
    </row>
    <row r="37" ht="20" customHeight="1">
      <c r="B37" s="53">
        <f>IF(C37="","",24)</f>
        <v/>
      </c>
      <c r="C37" s="54">
        <f>IF(LARGE('1. Temas'!$L$8:$L$37,24)&lt;0,"",INDEX('1. Temas'!$C$8:$C$37,MATCH(LARGE('1. Temas'!$L$8:$L$37,24),'1. Temas'!$L$8:$L$37,0)))</f>
        <v/>
      </c>
      <c r="D37" s="55">
        <f>IF(C37="","",INDEX('1. Temas'!$E$8:$E$37,MATCH(C37,'1. Temas'!$C$8:$C$37,0)))</f>
        <v/>
      </c>
      <c r="E37" s="56">
        <f>IF(C37="","",D37/$B$6)</f>
        <v/>
      </c>
      <c r="F37" s="56">
        <f>IF(C37="","",F36+E37)</f>
        <v/>
      </c>
      <c r="G37" s="57">
        <f>IF(C37="","",IF(F36&lt;'1. Temas'!$J$8,"🔴 Prioridade",IF(F36&lt;'1. Temas'!$J$9,"🟡 Planejar","🟢 Atendimento normal")))</f>
        <v/>
      </c>
      <c r="V37">
        <f>IF(C37="","",C37)</f>
        <v/>
      </c>
      <c r="W37">
        <f>IF(LEFT(G37,1)="🔴",D37,"")</f>
        <v/>
      </c>
      <c r="X37">
        <f>IF(OR(C37="",LEFT(G37,1)="🔴"),"",D37)</f>
        <v/>
      </c>
      <c r="Y37">
        <f>IF(C37="","",F37)</f>
        <v/>
      </c>
      <c r="Z37">
        <f>IF(C37="","",'1. Temas'!$J$8)</f>
        <v/>
      </c>
    </row>
    <row r="38" ht="20" customHeight="1">
      <c r="B38" s="53">
        <f>IF(C38="","",25)</f>
        <v/>
      </c>
      <c r="C38" s="54">
        <f>IF(LARGE('1. Temas'!$L$8:$L$37,25)&lt;0,"",INDEX('1. Temas'!$C$8:$C$37,MATCH(LARGE('1. Temas'!$L$8:$L$37,25),'1. Temas'!$L$8:$L$37,0)))</f>
        <v/>
      </c>
      <c r="D38" s="55">
        <f>IF(C38="","",INDEX('1. Temas'!$E$8:$E$37,MATCH(C38,'1. Temas'!$C$8:$C$37,0)))</f>
        <v/>
      </c>
      <c r="E38" s="56">
        <f>IF(C38="","",D38/$B$6)</f>
        <v/>
      </c>
      <c r="F38" s="56">
        <f>IF(C38="","",F37+E38)</f>
        <v/>
      </c>
      <c r="G38" s="57">
        <f>IF(C38="","",IF(F37&lt;'1. Temas'!$J$8,"🔴 Prioridade",IF(F37&lt;'1. Temas'!$J$9,"🟡 Planejar","🟢 Atendimento normal")))</f>
        <v/>
      </c>
      <c r="V38">
        <f>IF(C38="","",C38)</f>
        <v/>
      </c>
      <c r="W38">
        <f>IF(LEFT(G38,1)="🔴",D38,"")</f>
        <v/>
      </c>
      <c r="X38">
        <f>IF(OR(C38="",LEFT(G38,1)="🔴"),"",D38)</f>
        <v/>
      </c>
      <c r="Y38">
        <f>IF(C38="","",F38)</f>
        <v/>
      </c>
      <c r="Z38">
        <f>IF(C38="","",'1. Temas'!$J$8)</f>
        <v/>
      </c>
    </row>
    <row r="39" ht="20" customHeight="1">
      <c r="B39" s="53">
        <f>IF(C39="","",26)</f>
        <v/>
      </c>
      <c r="C39" s="54">
        <f>IF(LARGE('1. Temas'!$L$8:$L$37,26)&lt;0,"",INDEX('1. Temas'!$C$8:$C$37,MATCH(LARGE('1. Temas'!$L$8:$L$37,26),'1. Temas'!$L$8:$L$37,0)))</f>
        <v/>
      </c>
      <c r="D39" s="55">
        <f>IF(C39="","",INDEX('1. Temas'!$E$8:$E$37,MATCH(C39,'1. Temas'!$C$8:$C$37,0)))</f>
        <v/>
      </c>
      <c r="E39" s="56">
        <f>IF(C39="","",D39/$B$6)</f>
        <v/>
      </c>
      <c r="F39" s="56">
        <f>IF(C39="","",F38+E39)</f>
        <v/>
      </c>
      <c r="G39" s="57">
        <f>IF(C39="","",IF(F38&lt;'1. Temas'!$J$8,"🔴 Prioridade",IF(F38&lt;'1. Temas'!$J$9,"🟡 Planejar","🟢 Atendimento normal")))</f>
        <v/>
      </c>
      <c r="V39">
        <f>IF(C39="","",C39)</f>
        <v/>
      </c>
      <c r="W39">
        <f>IF(LEFT(G39,1)="🔴",D39,"")</f>
        <v/>
      </c>
      <c r="X39">
        <f>IF(OR(C39="",LEFT(G39,1)="🔴"),"",D39)</f>
        <v/>
      </c>
      <c r="Y39">
        <f>IF(C39="","",F39)</f>
        <v/>
      </c>
      <c r="Z39">
        <f>IF(C39="","",'1. Temas'!$J$8)</f>
        <v/>
      </c>
    </row>
    <row r="40" ht="20" customHeight="1">
      <c r="B40" s="53">
        <f>IF(C40="","",27)</f>
        <v/>
      </c>
      <c r="C40" s="54">
        <f>IF(LARGE('1. Temas'!$L$8:$L$37,27)&lt;0,"",INDEX('1. Temas'!$C$8:$C$37,MATCH(LARGE('1. Temas'!$L$8:$L$37,27),'1. Temas'!$L$8:$L$37,0)))</f>
        <v/>
      </c>
      <c r="D40" s="55">
        <f>IF(C40="","",INDEX('1. Temas'!$E$8:$E$37,MATCH(C40,'1. Temas'!$C$8:$C$37,0)))</f>
        <v/>
      </c>
      <c r="E40" s="56">
        <f>IF(C40="","",D40/$B$6)</f>
        <v/>
      </c>
      <c r="F40" s="56">
        <f>IF(C40="","",F39+E40)</f>
        <v/>
      </c>
      <c r="G40" s="57">
        <f>IF(C40="","",IF(F39&lt;'1. Temas'!$J$8,"🔴 Prioridade",IF(F39&lt;'1. Temas'!$J$9,"🟡 Planejar","🟢 Atendimento normal")))</f>
        <v/>
      </c>
      <c r="V40">
        <f>IF(C40="","",C40)</f>
        <v/>
      </c>
      <c r="W40">
        <f>IF(LEFT(G40,1)="🔴",D40,"")</f>
        <v/>
      </c>
      <c r="X40">
        <f>IF(OR(C40="",LEFT(G40,1)="🔴"),"",D40)</f>
        <v/>
      </c>
      <c r="Y40">
        <f>IF(C40="","",F40)</f>
        <v/>
      </c>
      <c r="Z40">
        <f>IF(C40="","",'1. Temas'!$J$8)</f>
        <v/>
      </c>
    </row>
    <row r="41" ht="20" customHeight="1">
      <c r="B41" s="53">
        <f>IF(C41="","",28)</f>
        <v/>
      </c>
      <c r="C41" s="54">
        <f>IF(LARGE('1. Temas'!$L$8:$L$37,28)&lt;0,"",INDEX('1. Temas'!$C$8:$C$37,MATCH(LARGE('1. Temas'!$L$8:$L$37,28),'1. Temas'!$L$8:$L$37,0)))</f>
        <v/>
      </c>
      <c r="D41" s="55">
        <f>IF(C41="","",INDEX('1. Temas'!$E$8:$E$37,MATCH(C41,'1. Temas'!$C$8:$C$37,0)))</f>
        <v/>
      </c>
      <c r="E41" s="56">
        <f>IF(C41="","",D41/$B$6)</f>
        <v/>
      </c>
      <c r="F41" s="56">
        <f>IF(C41="","",F40+E41)</f>
        <v/>
      </c>
      <c r="G41" s="57">
        <f>IF(C41="","",IF(F40&lt;'1. Temas'!$J$8,"🔴 Prioridade",IF(F40&lt;'1. Temas'!$J$9,"🟡 Planejar","🟢 Atendimento normal")))</f>
        <v/>
      </c>
      <c r="V41">
        <f>IF(C41="","",C41)</f>
        <v/>
      </c>
      <c r="W41">
        <f>IF(LEFT(G41,1)="🔴",D41,"")</f>
        <v/>
      </c>
      <c r="X41">
        <f>IF(OR(C41="",LEFT(G41,1)="🔴"),"",D41)</f>
        <v/>
      </c>
      <c r="Y41">
        <f>IF(C41="","",F41)</f>
        <v/>
      </c>
      <c r="Z41">
        <f>IF(C41="","",'1. Temas'!$J$8)</f>
        <v/>
      </c>
    </row>
    <row r="42" ht="20" customHeight="1">
      <c r="B42" s="53">
        <f>IF(C42="","",29)</f>
        <v/>
      </c>
      <c r="C42" s="54">
        <f>IF(LARGE('1. Temas'!$L$8:$L$37,29)&lt;0,"",INDEX('1. Temas'!$C$8:$C$37,MATCH(LARGE('1. Temas'!$L$8:$L$37,29),'1. Temas'!$L$8:$L$37,0)))</f>
        <v/>
      </c>
      <c r="D42" s="55">
        <f>IF(C42="","",INDEX('1. Temas'!$E$8:$E$37,MATCH(C42,'1. Temas'!$C$8:$C$37,0)))</f>
        <v/>
      </c>
      <c r="E42" s="56">
        <f>IF(C42="","",D42/$B$6)</f>
        <v/>
      </c>
      <c r="F42" s="56">
        <f>IF(C42="","",F41+E42)</f>
        <v/>
      </c>
      <c r="G42" s="57">
        <f>IF(C42="","",IF(F41&lt;'1. Temas'!$J$8,"🔴 Prioridade",IF(F41&lt;'1. Temas'!$J$9,"🟡 Planejar","🟢 Atendimento normal")))</f>
        <v/>
      </c>
      <c r="V42">
        <f>IF(C42="","",C42)</f>
        <v/>
      </c>
      <c r="W42">
        <f>IF(LEFT(G42,1)="🔴",D42,"")</f>
        <v/>
      </c>
      <c r="X42">
        <f>IF(OR(C42="",LEFT(G42,1)="🔴"),"",D42)</f>
        <v/>
      </c>
      <c r="Y42">
        <f>IF(C42="","",F42)</f>
        <v/>
      </c>
      <c r="Z42">
        <f>IF(C42="","",'1. Temas'!$J$8)</f>
        <v/>
      </c>
    </row>
    <row r="43" ht="20" customHeight="1">
      <c r="B43" s="53">
        <f>IF(C43="","",30)</f>
        <v/>
      </c>
      <c r="C43" s="54">
        <f>IF(LARGE('1. Temas'!$L$8:$L$37,30)&lt;0,"",INDEX('1. Temas'!$C$8:$C$37,MATCH(LARGE('1. Temas'!$L$8:$L$37,30),'1. Temas'!$L$8:$L$37,0)))</f>
        <v/>
      </c>
      <c r="D43" s="55">
        <f>IF(C43="","",INDEX('1. Temas'!$E$8:$E$37,MATCH(C43,'1. Temas'!$C$8:$C$37,0)))</f>
        <v/>
      </c>
      <c r="E43" s="56">
        <f>IF(C43="","",D43/$B$6)</f>
        <v/>
      </c>
      <c r="F43" s="56">
        <f>IF(C43="","",F42+E43)</f>
        <v/>
      </c>
      <c r="G43" s="57">
        <f>IF(C43="","",IF(F42&lt;'1. Temas'!$J$8,"🔴 Prioridade",IF(F42&lt;'1. Temas'!$J$9,"🟡 Planejar","🟢 Atendimento normal")))</f>
        <v/>
      </c>
      <c r="V43">
        <f>IF(C43="","",C43)</f>
        <v/>
      </c>
      <c r="W43">
        <f>IF(LEFT(G43,1)="🔴",D43,"")</f>
        <v/>
      </c>
      <c r="X43">
        <f>IF(OR(C43="",LEFT(G43,1)="🔴"),"",D43)</f>
        <v/>
      </c>
      <c r="Y43">
        <f>IF(C43="","",F43)</f>
        <v/>
      </c>
      <c r="Z43">
        <f>IF(C43="","",'1. Temas'!$J$8)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">
    <mergeCell ref="D6:E6"/>
    <mergeCell ref="B6:C6"/>
    <mergeCell ref="B8:G9"/>
    <mergeCell ref="B10:G10"/>
    <mergeCell ref="B5:C5"/>
    <mergeCell ref="D5:E5"/>
    <mergeCell ref="F6"/>
    <mergeCell ref="F5"/>
    <mergeCell ref="G6"/>
    <mergeCell ref="G5"/>
  </mergeCells>
  <conditionalFormatting sqref="B14:G43">
    <cfRule type="expression" priority="1" dxfId="3">
      <formula>LEFT($G14,1)="🔴"</formula>
    </cfRule>
    <cfRule type="expression" priority="2" dxfId="4">
      <formula>LEFT($G14,1)="🟡"</formula>
    </cfRule>
    <cfRule type="expression" priority="3" dxfId="5">
      <formula>LEFT($G14,1)="🟢"</formula>
    </cfRule>
  </conditionalFormatting>
  <conditionalFormatting sqref="D14:D43">
    <cfRule type="dataBar" priority="4">
      <dataBar showValue="1">
        <cfvo type="num" val="0"/>
        <cfvo type="max"/>
        <color rgb="008FB3DA"/>
      </dataBar>
    </cfRule>
  </conditionalFormatting>
  <hyperlinks>
    <hyperlink xmlns:r="http://schemas.openxmlformats.org/officeDocument/2006/relationships" ref="S2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2026-10-23T20:56:00Z</dcterms:created>
  <dcterms:modified xmlns:dcterms="http://purl.org/dc/terms/" xmlns:xsi="http://www.w3.org/2001/XMLSchema-instance" xsi:type="dcterms:W3CDTF">2026-10-23T20:56:01Z</dcterms:modified>
</cp:coreProperties>
</file>