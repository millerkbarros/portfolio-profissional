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Pareto 80-20" sheetId="2" state="visible" r:id="rId4"/>
    <sheet name="Temas" sheetId="3" state="visible" r:id="rId5"/>
    <sheet name="Chamad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<sst xmlns="http://schemas.openxmlformats.org/spreadsheetml/2006/main" count="459" uniqueCount="179">
  <si>
    <t xml:space="preserve">Planilha 80/20 para fila de chamados</t>
  </si>
  <si>
    <t xml:space="preserve">Mostra quais poucos temas geram a maior parte dos chamados, para saber por onde começar a correção.</t>
  </si>
  <si>
    <t xml:space="preserve">Como usar</t>
  </si>
  <si>
    <t xml:space="preserve">1. Na aba Temas, escreva os temas dos seus chamados (até 20), nas células amarelas.</t>
  </si>
  <si>
    <t xml:space="preserve">2. Na aba Chamados, registre cada chamado e escolha o tema na lista. Apague as linhas de exemplo antes.</t>
  </si>
  <si>
    <t xml:space="preserve">3. Abra a aba Pareto 80-20: a tabela e o gráfico se montam sozinhos, do maior para o menor.</t>
  </si>
  <si>
    <t xml:space="preserve">Como ler o resultado</t>
  </si>
  <si>
    <t xml:space="preserve">🔴 Prioridade: os poucos temas que somam cerca de 80% da fila. É por eles que a correção começa.</t>
  </si>
  <si>
    <t xml:space="preserve">🟡 Planejar: temas do meio, até 95% da fila. Entram no planejamento, sem urgência.</t>
  </si>
  <si>
    <t xml:space="preserve">🟢 Atendimento normal: o restante segue o fluxo de sempre.</t>
  </si>
  <si>
    <t xml:space="preserve">Dicas</t>
  </si>
  <si>
    <t xml:space="preserve">• Agrupe por causa provável, não pela descrição do usuário: textos diferentes muitas vezes escondem o mesmo problema.</t>
  </si>
  <si>
    <t xml:space="preserve">• Repita a análise no ciclo seguinte para confirmar se a correção realmente reduziu a fila.</t>
  </si>
  <si>
    <t xml:space="preserve">• Os dados de exemplo são ilustrativos: 140 chamados em 7 temas, em que 3 temas somam 80%.</t>
  </si>
  <si>
    <t xml:space="preserve">Criado por Miller Barros · millerkbarros.github.io/portfolio-profissional</t>
  </si>
  <si>
    <t xml:space="preserve">Pareto 80/20 da fila de chamados</t>
  </si>
  <si>
    <t xml:space="preserve">#</t>
  </si>
  <si>
    <t xml:space="preserve">Tema</t>
  </si>
  <si>
    <t xml:space="preserve">Qtd.</t>
  </si>
  <si>
    <t xml:space="preserve">% do total</t>
  </si>
  <si>
    <t xml:space="preserve">% acumulado</t>
  </si>
  <si>
    <t xml:space="preserve">Faixa</t>
  </si>
  <si>
    <t xml:space="preserve">Total</t>
  </si>
  <si>
    <t xml:space="preserve">Faixas: 🔴 temas até 80% acumulado · 🟡 até 95% · 🟢 restante. A linha que cruza 80% entra como prioridade.</t>
  </si>
  <si>
    <t xml:space="preserve">Tema (preencha)</t>
  </si>
  <si>
    <t xml:space="preserve">Qtd. chamados</t>
  </si>
  <si>
    <t xml:space="preserve">Chave de ordenação</t>
  </si>
  <si>
    <t xml:space="preserve">OS não sincroniza no mobile</t>
  </si>
  <si>
    <t xml:space="preserve">Baixa de material não grava</t>
  </si>
  <si>
    <t xml:space="preserve">Foto não anexa na OS</t>
  </si>
  <si>
    <t xml:space="preserve">Login expira em campo</t>
  </si>
  <si>
    <t xml:space="preserve">Relatório lento</t>
  </si>
  <si>
    <t xml:space="preserve">Endereço incorreto</t>
  </si>
  <si>
    <t xml:space="preserve">Outros</t>
  </si>
  <si>
    <t xml:space="preserve">A coluna C só serve para ordenar o Pareto e desempatar temas com a mesma quantidade.</t>
  </si>
  <si>
    <t xml:space="preserve">Nº do chamado</t>
  </si>
  <si>
    <t xml:space="preserve">Data</t>
  </si>
  <si>
    <t xml:space="preserve">Descrição (opcional)</t>
  </si>
  <si>
    <t xml:space="preserve">CH-1001</t>
  </si>
  <si>
    <t xml:space="preserve">Exemplo ilustrativo</t>
  </si>
  <si>
    <t xml:space="preserve">CH-1002</t>
  </si>
  <si>
    <t xml:space="preserve">CH-1003</t>
  </si>
  <si>
    <t xml:space="preserve">CH-1004</t>
  </si>
  <si>
    <t xml:space="preserve">CH-1005</t>
  </si>
  <si>
    <t xml:space="preserve">CH-1006</t>
  </si>
  <si>
    <t xml:space="preserve">CH-1007</t>
  </si>
  <si>
    <t xml:space="preserve">CH-1008</t>
  </si>
  <si>
    <t xml:space="preserve">CH-1009</t>
  </si>
  <si>
    <t xml:space="preserve">CH-1010</t>
  </si>
  <si>
    <t xml:space="preserve">CH-1011</t>
  </si>
  <si>
    <t xml:space="preserve">CH-1012</t>
  </si>
  <si>
    <t xml:space="preserve">CH-1013</t>
  </si>
  <si>
    <t xml:space="preserve">CH-1014</t>
  </si>
  <si>
    <t xml:space="preserve">CH-1015</t>
  </si>
  <si>
    <t xml:space="preserve">CH-1016</t>
  </si>
  <si>
    <t xml:space="preserve">CH-1017</t>
  </si>
  <si>
    <t xml:space="preserve">CH-1018</t>
  </si>
  <si>
    <t xml:space="preserve">CH-1019</t>
  </si>
  <si>
    <t xml:space="preserve">CH-1020</t>
  </si>
  <si>
    <t xml:space="preserve">CH-1021</t>
  </si>
  <si>
    <t xml:space="preserve">CH-1022</t>
  </si>
  <si>
    <t xml:space="preserve">CH-1023</t>
  </si>
  <si>
    <t xml:space="preserve">CH-1024</t>
  </si>
  <si>
    <t xml:space="preserve">CH-1025</t>
  </si>
  <si>
    <t xml:space="preserve">CH-1026</t>
  </si>
  <si>
    <t xml:space="preserve">CH-1027</t>
  </si>
  <si>
    <t xml:space="preserve">CH-1028</t>
  </si>
  <si>
    <t xml:space="preserve">CH-1029</t>
  </si>
  <si>
    <t xml:space="preserve">CH-1030</t>
  </si>
  <si>
    <t xml:space="preserve">CH-1031</t>
  </si>
  <si>
    <t xml:space="preserve">CH-1032</t>
  </si>
  <si>
    <t xml:space="preserve">CH-1033</t>
  </si>
  <si>
    <t xml:space="preserve">CH-1034</t>
  </si>
  <si>
    <t xml:space="preserve">CH-1035</t>
  </si>
  <si>
    <t xml:space="preserve">CH-1036</t>
  </si>
  <si>
    <t xml:space="preserve">CH-1037</t>
  </si>
  <si>
    <t xml:space="preserve">CH-1038</t>
  </si>
  <si>
    <t xml:space="preserve">CH-1039</t>
  </si>
  <si>
    <t xml:space="preserve">CH-1040</t>
  </si>
  <si>
    <t xml:space="preserve">CH-1041</t>
  </si>
  <si>
    <t xml:space="preserve">CH-1042</t>
  </si>
  <si>
    <t xml:space="preserve">CH-1043</t>
  </si>
  <si>
    <t xml:space="preserve">CH-1044</t>
  </si>
  <si>
    <t xml:space="preserve">CH-1045</t>
  </si>
  <si>
    <t xml:space="preserve">CH-1046</t>
  </si>
  <si>
    <t xml:space="preserve">CH-1047</t>
  </si>
  <si>
    <t xml:space="preserve">CH-1048</t>
  </si>
  <si>
    <t xml:space="preserve">CH-1049</t>
  </si>
  <si>
    <t xml:space="preserve">CH-1050</t>
  </si>
  <si>
    <t xml:space="preserve">CH-1051</t>
  </si>
  <si>
    <t xml:space="preserve">CH-1052</t>
  </si>
  <si>
    <t xml:space="preserve">CH-1053</t>
  </si>
  <si>
    <t xml:space="preserve">CH-1054</t>
  </si>
  <si>
    <t xml:space="preserve">CH-1055</t>
  </si>
  <si>
    <t xml:space="preserve">CH-1056</t>
  </si>
  <si>
    <t xml:space="preserve">CH-1057</t>
  </si>
  <si>
    <t xml:space="preserve">CH-1058</t>
  </si>
  <si>
    <t xml:space="preserve">CH-1059</t>
  </si>
  <si>
    <t xml:space="preserve">CH-1060</t>
  </si>
  <si>
    <t xml:space="preserve">CH-1061</t>
  </si>
  <si>
    <t xml:space="preserve">CH-1062</t>
  </si>
  <si>
    <t xml:space="preserve">CH-1063</t>
  </si>
  <si>
    <t xml:space="preserve">CH-1064</t>
  </si>
  <si>
    <t xml:space="preserve">CH-1065</t>
  </si>
  <si>
    <t xml:space="preserve">CH-1066</t>
  </si>
  <si>
    <t xml:space="preserve">CH-1067</t>
  </si>
  <si>
    <t xml:space="preserve">CH-1068</t>
  </si>
  <si>
    <t xml:space="preserve">CH-1069</t>
  </si>
  <si>
    <t xml:space="preserve">CH-1070</t>
  </si>
  <si>
    <t xml:space="preserve">CH-1071</t>
  </si>
  <si>
    <t xml:space="preserve">CH-1072</t>
  </si>
  <si>
    <t xml:space="preserve">CH-1073</t>
  </si>
  <si>
    <t xml:space="preserve">CH-1074</t>
  </si>
  <si>
    <t xml:space="preserve">CH-1075</t>
  </si>
  <si>
    <t xml:space="preserve">CH-1076</t>
  </si>
  <si>
    <t xml:space="preserve">CH-1077</t>
  </si>
  <si>
    <t xml:space="preserve">CH-1078</t>
  </si>
  <si>
    <t xml:space="preserve">CH-1079</t>
  </si>
  <si>
    <t xml:space="preserve">CH-1080</t>
  </si>
  <si>
    <t xml:space="preserve">CH-1081</t>
  </si>
  <si>
    <t xml:space="preserve">CH-1082</t>
  </si>
  <si>
    <t xml:space="preserve">CH-1083</t>
  </si>
  <si>
    <t xml:space="preserve">CH-1084</t>
  </si>
  <si>
    <t xml:space="preserve">CH-1085</t>
  </si>
  <si>
    <t xml:space="preserve">CH-1086</t>
  </si>
  <si>
    <t xml:space="preserve">CH-1087</t>
  </si>
  <si>
    <t xml:space="preserve">CH-1088</t>
  </si>
  <si>
    <t xml:space="preserve">CH-1089</t>
  </si>
  <si>
    <t xml:space="preserve">CH-1090</t>
  </si>
  <si>
    <t xml:space="preserve">CH-1091</t>
  </si>
  <si>
    <t xml:space="preserve">CH-1092</t>
  </si>
  <si>
    <t xml:space="preserve">CH-1093</t>
  </si>
  <si>
    <t xml:space="preserve">CH-1094</t>
  </si>
  <si>
    <t xml:space="preserve">CH-1095</t>
  </si>
  <si>
    <t xml:space="preserve">CH-1096</t>
  </si>
  <si>
    <t xml:space="preserve">CH-1097</t>
  </si>
  <si>
    <t xml:space="preserve">CH-1098</t>
  </si>
  <si>
    <t xml:space="preserve">CH-1099</t>
  </si>
  <si>
    <t xml:space="preserve">CH-1100</t>
  </si>
  <si>
    <t xml:space="preserve">CH-1101</t>
  </si>
  <si>
    <t xml:space="preserve">CH-1102</t>
  </si>
  <si>
    <t xml:space="preserve">CH-1103</t>
  </si>
  <si>
    <t xml:space="preserve">CH-1104</t>
  </si>
  <si>
    <t xml:space="preserve">CH-1105</t>
  </si>
  <si>
    <t xml:space="preserve">CH-1106</t>
  </si>
  <si>
    <t xml:space="preserve">CH-1107</t>
  </si>
  <si>
    <t xml:space="preserve">CH-1108</t>
  </si>
  <si>
    <t xml:space="preserve">CH-1109</t>
  </si>
  <si>
    <t xml:space="preserve">CH-1110</t>
  </si>
  <si>
    <t xml:space="preserve">CH-1111</t>
  </si>
  <si>
    <t xml:space="preserve">CH-1112</t>
  </si>
  <si>
    <t xml:space="preserve">CH-1113</t>
  </si>
  <si>
    <t xml:space="preserve">CH-1114</t>
  </si>
  <si>
    <t xml:space="preserve">CH-1115</t>
  </si>
  <si>
    <t xml:space="preserve">CH-1116</t>
  </si>
  <si>
    <t xml:space="preserve">CH-1117</t>
  </si>
  <si>
    <t xml:space="preserve">CH-1118</t>
  </si>
  <si>
    <t xml:space="preserve">CH-1119</t>
  </si>
  <si>
    <t xml:space="preserve">CH-1120</t>
  </si>
  <si>
    <t xml:space="preserve">CH-1121</t>
  </si>
  <si>
    <t xml:space="preserve">CH-1122</t>
  </si>
  <si>
    <t xml:space="preserve">CH-1123</t>
  </si>
  <si>
    <t xml:space="preserve">CH-1124</t>
  </si>
  <si>
    <t xml:space="preserve">CH-1125</t>
  </si>
  <si>
    <t xml:space="preserve">CH-1126</t>
  </si>
  <si>
    <t xml:space="preserve">CH-1127</t>
  </si>
  <si>
    <t xml:space="preserve">CH-1128</t>
  </si>
  <si>
    <t xml:space="preserve">CH-1129</t>
  </si>
  <si>
    <t xml:space="preserve">CH-1130</t>
  </si>
  <si>
    <t xml:space="preserve">CH-1131</t>
  </si>
  <si>
    <t xml:space="preserve">CH-1132</t>
  </si>
  <si>
    <t xml:space="preserve">CH-1133</t>
  </si>
  <si>
    <t xml:space="preserve">CH-1134</t>
  </si>
  <si>
    <t xml:space="preserve">CH-1135</t>
  </si>
  <si>
    <t xml:space="preserve">CH-1136</t>
  </si>
  <si>
    <t xml:space="preserve">CH-1137</t>
  </si>
  <si>
    <t xml:space="preserve">CH-1138</t>
  </si>
  <si>
    <t xml:space="preserve">CH-1139</t>
  </si>
  <si>
    <t xml:space="preserve">CH-1140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</si>
</sst>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General"/>
    <numFmt numFmtId="167" formatCode="0%"/>
    <numFmt numFmtId="168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1B33"/>
      <name val="Arial"/>
      <family val="0"/>
      <charset val="1"/>
    </font>
    <font>
      <sz val="11"/>
      <color rgb="FF555555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0E1B33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6"/>
      <color rgb="FF0E1B33"/>
      <name val="Arial"/>
      <family val="0"/>
      <charset val="1"/>
    </font>
    <font>
      <b val="true"/>
      <sz val="12"/>
      <color rgb="FF1E8A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777777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99999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6E"/>
        <bgColor rgb="FF555555"/>
      </patternFill>
    </fill>
    <fill>
      <patternFill patternType="solid">
        <fgColor rgb="FFFFF2CC"/>
        <bgColor rgb="FFFFF7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DECEC"/>
        </patternFill>
      </fill>
    </dxf>
    <dxf>
      <fill>
        <patternFill>
          <bgColor rgb="FFFFF7E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7E0"/>
      <rgbColor rgb="FFF9F9F9"/>
      <rgbColor rgb="FF660066"/>
      <rgbColor rgb="FFFF8080"/>
      <rgbColor rgb="FF0066CC"/>
      <rgbColor rgb="FFD5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CEC"/>
      <rgbColor rgb="FFCCFFCC"/>
      <rgbColor rgb="FFFFF2CC"/>
      <rgbColor rgb="FF99CCFF"/>
      <rgbColor rgb="FFFF99CC"/>
      <rgbColor rgb="FFCC99FF"/>
      <rgbColor rgb="FFFFCC99"/>
      <rgbColor rgb="FF3366FF"/>
      <rgbColor rgb="FF34D3B4"/>
      <rgbColor rgb="FF99CC00"/>
      <rgbColor rgb="FFFFCC00"/>
      <rgbColor rgb="FFFF9900"/>
      <rgbColor rgb="FFFF6600"/>
      <rgbColor rgb="FF777777"/>
      <rgbColor rgb="FF999999"/>
      <rgbColor rgb="FF0E1B33"/>
      <rgbColor rgb="FF1E8A55"/>
      <rgbColor rgb="FF003300"/>
      <rgbColor rgb="FF333300"/>
      <rgbColor rgb="FF993300"/>
      <rgbColor rgb="FF993366"/>
      <rgbColor rgb="FF1F4E6E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Chamados por tema (do maior para o menor)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'Pareto 80-20'!C4</c:f>
              <c:strCache>
                <c:ptCount val="1"/>
                <c:pt idx="0">
                  <c:v>Qtd.</c:v>
                </c:pt>
              </c:strCache>
            </c:strRef>
          </c:tx>
          <c:spPr>
            <a:solidFill>
              <a:srgbClr val="0e1b3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80-20'!$B$5:$B$14</c:f>
              <c:strCache>
                <c:ptCount val="10"/>
                <c:pt idx="0">
                  <c:v>OS não sincroniza no mobile</c:v>
                </c:pt>
                <c:pt idx="1">
                  <c:v>Baixa de material não grava</c:v>
                </c:pt>
                <c:pt idx="2">
                  <c:v>Foto não anexa na OS</c:v>
                </c:pt>
                <c:pt idx="3">
                  <c:v>Login expira em campo</c:v>
                </c:pt>
                <c:pt idx="4">
                  <c:v>Relatório lento</c:v>
                </c:pt>
                <c:pt idx="5">
                  <c:v>Endereço incorreto</c:v>
                </c:pt>
                <c:pt idx="6">
                  <c:v>Outros</c:v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'Pareto 80-20'!$C$5:$C$14</c:f>
              <c:numCache>
                <c:formatCode>General</c:formatCode>
                <c:ptCount val="10"/>
                <c:pt idx="0">
                  <c:v>52</c:v>
                </c:pt>
                <c:pt idx="1">
                  <c:v>38</c:v>
                </c:pt>
                <c:pt idx="2">
                  <c:v>22</c:v>
                </c:pt>
                <c:pt idx="3">
                  <c:v>9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</c:numCache>
            </c:numRef>
          </c:val>
        </c:ser>
        <c:gapWidth val="60"/>
        <c:overlap val="0"/>
        <c:axId val="23167149"/>
        <c:axId val="77033600"/>
      </c:barChart>
      <c:lineChart>
        <c:grouping val="standard"/>
        <c:varyColors val="0"/>
        <c:ser>
          <c:idx val="1"/>
          <c:order val="1"/>
          <c:tx>
            <c:strRef>
              <c:f>'Pareto 80-20'!E4</c:f>
              <c:strCache>
                <c:ptCount val="1"/>
                <c:pt idx="0">
                  <c:v>% acumulado</c:v>
                </c:pt>
              </c:strCache>
            </c:strRef>
          </c:tx>
          <c:spPr>
            <a:solidFill>
              <a:srgbClr val="34d3b4"/>
            </a:solidFill>
            <a:ln w="32040">
              <a:solidFill>
                <a:srgbClr val="34d3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80-20'!$B$5:$B$14</c:f>
              <c:strCache>
                <c:ptCount val="10"/>
                <c:pt idx="0">
                  <c:v>OS não sincroniza no mobile</c:v>
                </c:pt>
                <c:pt idx="1">
                  <c:v>Baixa de material não grava</c:v>
                </c:pt>
                <c:pt idx="2">
                  <c:v>Foto não anexa na OS</c:v>
                </c:pt>
                <c:pt idx="3">
                  <c:v>Login expira em campo</c:v>
                </c:pt>
                <c:pt idx="4">
                  <c:v>Relatório lento</c:v>
                </c:pt>
                <c:pt idx="5">
                  <c:v>Endereço incorreto</c:v>
                </c:pt>
                <c:pt idx="6">
                  <c:v>Outros</c:v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'Pareto 80-20'!$E$5:$E$14</c:f>
              <c:numCache>
                <c:formatCode>0.0%</c:formatCode>
                <c:ptCount val="10"/>
                <c:pt idx="0">
                  <c:v>0.371428571428571</c:v>
                </c:pt>
                <c:pt idx="1">
                  <c:v>0.642857142857143</c:v>
                </c:pt>
                <c:pt idx="2">
                  <c:v>0.8</c:v>
                </c:pt>
                <c:pt idx="3">
                  <c:v>0.864285714285714</c:v>
                </c:pt>
                <c:pt idx="4">
                  <c:v>0.914285714285714</c:v>
                </c:pt>
                <c:pt idx="5">
                  <c:v>0.957142857142857</c:v>
                </c:pt>
                <c:pt idx="6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942818"/>
        <c:axId val="40804039"/>
      </c:lineChart>
      <c:catAx>
        <c:axId val="231671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033600"/>
        <c:crosses val="autoZero"/>
        <c:auto val="1"/>
        <c:lblAlgn val="ctr"/>
        <c:lblOffset val="100"/>
        <c:noMultiLvlLbl val="0"/>
      </c:catAx>
      <c:valAx>
        <c:axId val="770336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Chamados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167149"/>
        <c:crosses val="autoZero"/>
        <c:crossBetween val="between"/>
      </c:valAx>
      <c:catAx>
        <c:axId val="49942818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04039"/>
        <c:crosses val="autoZero"/>
        <c:auto val="1"/>
        <c:lblAlgn val="ctr"/>
        <c:lblOffset val="100"/>
        <c:noMultiLvlLbl val="0"/>
      </c:catAx>
      <c:valAx>
        <c:axId val="40804039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acumulado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4281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19</xdr:col>
      <xdr:colOff>581760</xdr:colOff>
      <xdr:row>20</xdr:row>
      <xdr:rowOff>111240</xdr:rowOff>
    </xdr:to>
    <xdr:graphicFrame>
      <xdr:nvGraphicFramePr>
        <xdr:cNvPr id="0" name="Chart 1"/>
        <xdr:cNvGraphicFramePr/>
      </xdr:nvGraphicFramePr>
      <xdr:xfrm>
        <a:off x="7941960" y="571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6.15" hidden="false" customHeight="false" outlineLevel="0" collapsed="false">
      <c r="B5" s="4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/>
    </row>
    <row r="10" customFormat="false" ht="16.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/>
    </row>
    <row r="15" customFormat="false" ht="16.15" hidden="false" customHeight="false" outlineLevel="0" collapsed="false">
      <c r="B15" s="4" t="s">
        <v>10</v>
      </c>
    </row>
    <row r="16" customFormat="false" ht="26.8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/>
    </row>
    <row r="20" customFormat="false" ht="15" hidden="false" customHeight="false" outlineLevel="0" collapsed="false">
      <c r="B20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4"/>
  </cols>
  <sheetData>
    <row r="1" customFormat="false" ht="19.7" hidden="false" customHeight="false" outlineLevel="0" collapsed="false">
      <c r="A1" s="6" t="s">
        <v>15</v>
      </c>
    </row>
    <row r="2" customFormat="false" ht="15" hidden="false" customHeight="false" outlineLevel="0" collapsed="false">
      <c r="A2" s="7" t="str">
        <f aca="false">IF(D25=0,"Sem chamados registrados.",COUNTIF(F5:F24,"🔴*")&amp;" temas concentram "&amp;TEXT(SUMIF(F5:F24,"🔴*",C5:C24)/D25,"0%")&amp;" dos "&amp;D25&amp;" chamados. Comece por eles.")</f>
        <v>3 temas concentram 80% dos 140 chamados. Comece por eles.</v>
      </c>
    </row>
    <row r="4" customFormat="false" ht="30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</row>
    <row r="5" customFormat="false" ht="15" hidden="false" customHeight="false" outlineLevel="0" collapsed="false">
      <c r="A5" s="9" t="n">
        <v>1</v>
      </c>
      <c r="B5" s="10" t="str">
        <f aca="false">IF(LARGE(Temas!$C$2:$C$21,1)&lt;0,"",INDEX(Temas!$A$2:$A$21,MATCH(LARGE(Temas!$C$2:$C$21,1),Temas!$C$2:$C$21,0)))</f>
        <v>OS não sincroniza no mobile</v>
      </c>
      <c r="C5" s="10" t="n">
        <f aca="false">IF(B5="","",INDEX(Temas!$B$2:$B$21,MATCH(B5,Temas!$A$2:$A$21,0)))</f>
        <v>52</v>
      </c>
      <c r="D5" s="11" t="n">
        <f aca="false">IF(OR(B5="",$D$25=0),"",C5/$D$25)</f>
        <v>0.371428571428571</v>
      </c>
      <c r="E5" s="11" t="n">
        <f aca="false">IF(D5="","",D5)</f>
        <v>0.371428571428571</v>
      </c>
      <c r="F5" s="10" t="str">
        <f aca="false">IF(OR(B5="",C5=0),"",IF(0&lt;0.8,"🔴 Prioridade",IF(0&lt;0.95,"🟡 Planejar","🟢 Atendimento normal")))</f>
        <v>🔴 Prioridade</v>
      </c>
    </row>
    <row r="6" customFormat="false" ht="15" hidden="false" customHeight="false" outlineLevel="0" collapsed="false">
      <c r="A6" s="9" t="n">
        <v>2</v>
      </c>
      <c r="B6" s="10" t="str">
        <f aca="false">IF(LARGE(Temas!$C$2:$C$21,2)&lt;0,"",INDEX(Temas!$A$2:$A$21,MATCH(LARGE(Temas!$C$2:$C$21,2),Temas!$C$2:$C$21,0)))</f>
        <v>Baixa de material não grava</v>
      </c>
      <c r="C6" s="10" t="n">
        <f aca="false">IF(B6="","",INDEX(Temas!$B$2:$B$21,MATCH(B6,Temas!$A$2:$A$21,0)))</f>
        <v>38</v>
      </c>
      <c r="D6" s="11" t="n">
        <f aca="false">IF(OR(B6="",$D$25=0),"",C6/$D$25)</f>
        <v>0.271428571428571</v>
      </c>
      <c r="E6" s="11" t="n">
        <f aca="false">IF(D6="","",E5+D6)</f>
        <v>0.642857142857143</v>
      </c>
      <c r="F6" s="10" t="str">
        <f aca="false">IF(OR(B6="",C6=0),"",IF(E5&lt;0.8,"🔴 Prioridade",IF(E5&lt;0.95,"🟡 Planejar","🟢 Atendimento normal")))</f>
        <v>🔴 Prioridade</v>
      </c>
    </row>
    <row r="7" customFormat="false" ht="15" hidden="false" customHeight="false" outlineLevel="0" collapsed="false">
      <c r="A7" s="9" t="n">
        <v>3</v>
      </c>
      <c r="B7" s="10" t="str">
        <f aca="false">IF(LARGE(Temas!$C$2:$C$21,3)&lt;0,"",INDEX(Temas!$A$2:$A$21,MATCH(LARGE(Temas!$C$2:$C$21,3),Temas!$C$2:$C$21,0)))</f>
        <v>Foto não anexa na OS</v>
      </c>
      <c r="C7" s="10" t="n">
        <f aca="false">IF(B7="","",INDEX(Temas!$B$2:$B$21,MATCH(B7,Temas!$A$2:$A$21,0)))</f>
        <v>22</v>
      </c>
      <c r="D7" s="11" t="n">
        <f aca="false">IF(OR(B7="",$D$25=0),"",C7/$D$25)</f>
        <v>0.157142857142857</v>
      </c>
      <c r="E7" s="11" t="n">
        <f aca="false">IF(D7="","",E6+D7)</f>
        <v>0.8</v>
      </c>
      <c r="F7" s="10" t="str">
        <f aca="false">IF(OR(B7="",C7=0),"",IF(E6&lt;0.8,"🔴 Prioridade",IF(E6&lt;0.95,"🟡 Planejar","🟢 Atendimento normal")))</f>
        <v>🔴 Prioridade</v>
      </c>
    </row>
    <row r="8" customFormat="false" ht="15" hidden="false" customHeight="false" outlineLevel="0" collapsed="false">
      <c r="A8" s="9" t="n">
        <v>4</v>
      </c>
      <c r="B8" s="10" t="str">
        <f aca="false">IF(LARGE(Temas!$C$2:$C$21,4)&lt;0,"",INDEX(Temas!$A$2:$A$21,MATCH(LARGE(Temas!$C$2:$C$21,4),Temas!$C$2:$C$21,0)))</f>
        <v>Login expira em campo</v>
      </c>
      <c r="C8" s="10" t="n">
        <f aca="false">IF(B8="","",INDEX(Temas!$B$2:$B$21,MATCH(B8,Temas!$A$2:$A$21,0)))</f>
        <v>9</v>
      </c>
      <c r="D8" s="11" t="n">
        <f aca="false">IF(OR(B8="",$D$25=0),"",C8/$D$25)</f>
        <v>0.0642857142857143</v>
      </c>
      <c r="E8" s="11" t="n">
        <f aca="false">IF(D8="","",E7+D8)</f>
        <v>0.864285714285714</v>
      </c>
      <c r="F8" s="10" t="str">
        <f aca="false">IF(OR(B8="",C8=0),"",IF(E7&lt;0.8,"🔴 Prioridade",IF(E7&lt;0.95,"🟡 Planejar","🟢 Atendimento normal")))</f>
        <v>🟡 Planejar</v>
      </c>
    </row>
    <row r="9" customFormat="false" ht="15" hidden="false" customHeight="false" outlineLevel="0" collapsed="false">
      <c r="A9" s="9" t="n">
        <v>5</v>
      </c>
      <c r="B9" s="10" t="str">
        <f aca="false">IF(LARGE(Temas!$C$2:$C$21,5)&lt;0,"",INDEX(Temas!$A$2:$A$21,MATCH(LARGE(Temas!$C$2:$C$21,5),Temas!$C$2:$C$21,0)))</f>
        <v>Relatório lento</v>
      </c>
      <c r="C9" s="10" t="n">
        <f aca="false">IF(B9="","",INDEX(Temas!$B$2:$B$21,MATCH(B9,Temas!$A$2:$A$21,0)))</f>
        <v>7</v>
      </c>
      <c r="D9" s="11" t="n">
        <f aca="false">IF(OR(B9="",$D$25=0),"",C9/$D$25)</f>
        <v>0.05</v>
      </c>
      <c r="E9" s="11" t="n">
        <f aca="false">IF(D9="","",E8+D9)</f>
        <v>0.914285714285714</v>
      </c>
      <c r="F9" s="10" t="str">
        <f aca="false">IF(OR(B9="",C9=0),"",IF(E8&lt;0.8,"🔴 Prioridade",IF(E8&lt;0.95,"🟡 Planejar","🟢 Atendimento normal")))</f>
        <v>🟡 Planejar</v>
      </c>
    </row>
    <row r="10" customFormat="false" ht="15" hidden="false" customHeight="false" outlineLevel="0" collapsed="false">
      <c r="A10" s="9" t="n">
        <v>6</v>
      </c>
      <c r="B10" s="10" t="str">
        <f aca="false">IF(LARGE(Temas!$C$2:$C$21,6)&lt;0,"",INDEX(Temas!$A$2:$A$21,MATCH(LARGE(Temas!$C$2:$C$21,6),Temas!$C$2:$C$21,0)))</f>
        <v>Endereço incorreto</v>
      </c>
      <c r="C10" s="10" t="n">
        <f aca="false">IF(B10="","",INDEX(Temas!$B$2:$B$21,MATCH(B10,Temas!$A$2:$A$21,0)))</f>
        <v>6</v>
      </c>
      <c r="D10" s="11" t="n">
        <f aca="false">IF(OR(B10="",$D$25=0),"",C10/$D$25)</f>
        <v>0.0428571428571429</v>
      </c>
      <c r="E10" s="11" t="n">
        <f aca="false">IF(D10="","",E9+D10)</f>
        <v>0.957142857142857</v>
      </c>
      <c r="F10" s="10" t="str">
        <f aca="false">IF(OR(B10="",C10=0),"",IF(E9&lt;0.8,"🔴 Prioridade",IF(E9&lt;0.95,"🟡 Planejar","🟢 Atendimento normal")))</f>
        <v>🟡 Planejar</v>
      </c>
    </row>
    <row r="11" customFormat="false" ht="15" hidden="false" customHeight="false" outlineLevel="0" collapsed="false">
      <c r="A11" s="9" t="n">
        <v>7</v>
      </c>
      <c r="B11" s="10" t="str">
        <f aca="false">IF(LARGE(Temas!$C$2:$C$21,7)&lt;0,"",INDEX(Temas!$A$2:$A$21,MATCH(LARGE(Temas!$C$2:$C$21,7),Temas!$C$2:$C$21,0)))</f>
        <v>Outros</v>
      </c>
      <c r="C11" s="10" t="n">
        <f aca="false">IF(B11="","",INDEX(Temas!$B$2:$B$21,MATCH(B11,Temas!$A$2:$A$21,0)))</f>
        <v>6</v>
      </c>
      <c r="D11" s="11" t="n">
        <f aca="false">IF(OR(B11="",$D$25=0),"",C11/$D$25)</f>
        <v>0.0428571428571429</v>
      </c>
      <c r="E11" s="11" t="n">
        <f aca="false">IF(D11="","",E10+D11)</f>
        <v>1</v>
      </c>
      <c r="F11" s="10" t="str">
        <f aca="false">IF(OR(B11="",C11=0),"",IF(E10&lt;0.8,"🔴 Prioridade",IF(E10&lt;0.95,"🟡 Planejar","🟢 Atendimento normal")))</f>
        <v>🟢 Atendimento normal</v>
      </c>
    </row>
    <row r="12" customFormat="false" ht="15" hidden="false" customHeight="false" outlineLevel="0" collapsed="false">
      <c r="A12" s="9" t="n">
        <v>8</v>
      </c>
      <c r="B12" s="10" t="str">
        <f aca="false">IF(LARGE(Temas!$C$2:$C$21,8)&lt;0,"",INDEX(Temas!$A$2:$A$21,MATCH(LARGE(Temas!$C$2:$C$21,8),Temas!$C$2:$C$21,0)))</f>
        <v/>
      </c>
      <c r="C12" s="10" t="str">
        <f aca="false">IF(B12="","",INDEX(Temas!$B$2:$B$21,MATCH(B12,Temas!$A$2:$A$21,0)))</f>
        <v/>
      </c>
      <c r="D12" s="11" t="str">
        <f aca="false">IF(OR(B12="",$D$25=0),"",C12/$D$25)</f>
        <v/>
      </c>
      <c r="E12" s="11" t="str">
        <f aca="false">IF(D12="","",E11+D12)</f>
        <v/>
      </c>
      <c r="F12" s="10" t="str">
        <f aca="false">IF(OR(B12="",C12=0),"",IF(E11&lt;0.8,"🔴 Prioridade",IF(E11&lt;0.95,"🟡 Planejar","🟢 Atendimento normal")))</f>
        <v/>
      </c>
    </row>
    <row r="13" customFormat="false" ht="15" hidden="false" customHeight="false" outlineLevel="0" collapsed="false">
      <c r="A13" s="9" t="n">
        <v>9</v>
      </c>
      <c r="B13" s="10" t="str">
        <f aca="false">IF(LARGE(Temas!$C$2:$C$21,9)&lt;0,"",INDEX(Temas!$A$2:$A$21,MATCH(LARGE(Temas!$C$2:$C$21,9),Temas!$C$2:$C$21,0)))</f>
        <v/>
      </c>
      <c r="C13" s="10" t="str">
        <f aca="false">IF(B13="","",INDEX(Temas!$B$2:$B$21,MATCH(B13,Temas!$A$2:$A$21,0)))</f>
        <v/>
      </c>
      <c r="D13" s="11" t="str">
        <f aca="false">IF(OR(B13="",$D$25=0),"",C13/$D$25)</f>
        <v/>
      </c>
      <c r="E13" s="11" t="str">
        <f aca="false">IF(D13="","",E12+D13)</f>
        <v/>
      </c>
      <c r="F13" s="10" t="str">
        <f aca="false">IF(OR(B13="",C13=0),"",IF(E12&lt;0.8,"🔴 Prioridade",IF(E12&lt;0.95,"🟡 Planejar","🟢 Atendimento normal")))</f>
        <v/>
      </c>
    </row>
    <row r="14" customFormat="false" ht="15" hidden="false" customHeight="false" outlineLevel="0" collapsed="false">
      <c r="A14" s="9" t="n">
        <v>10</v>
      </c>
      <c r="B14" s="10" t="str">
        <f aca="false">IF(LARGE(Temas!$C$2:$C$21,10)&lt;0,"",INDEX(Temas!$A$2:$A$21,MATCH(LARGE(Temas!$C$2:$C$21,10),Temas!$C$2:$C$21,0)))</f>
        <v/>
      </c>
      <c r="C14" s="10" t="str">
        <f aca="false">IF(B14="","",INDEX(Temas!$B$2:$B$21,MATCH(B14,Temas!$A$2:$A$21,0)))</f>
        <v/>
      </c>
      <c r="D14" s="11" t="str">
        <f aca="false">IF(OR(B14="",$D$25=0),"",C14/$D$25)</f>
        <v/>
      </c>
      <c r="E14" s="11" t="str">
        <f aca="false">IF(D14="","",E13+D14)</f>
        <v/>
      </c>
      <c r="F14" s="10" t="str">
        <f aca="false">IF(OR(B14="",C14=0),"",IF(E13&lt;0.8,"🔴 Prioridade",IF(E13&lt;0.95,"🟡 Planejar","🟢 Atendimento normal")))</f>
        <v/>
      </c>
    </row>
    <row r="15" customFormat="false" ht="15" hidden="false" customHeight="false" outlineLevel="0" collapsed="false">
      <c r="A15" s="9" t="n">
        <v>11</v>
      </c>
      <c r="B15" s="10" t="str">
        <f aca="false">IF(LARGE(Temas!$C$2:$C$21,11)&lt;0,"",INDEX(Temas!$A$2:$A$21,MATCH(LARGE(Temas!$C$2:$C$21,11),Temas!$C$2:$C$21,0)))</f>
        <v/>
      </c>
      <c r="C15" s="10" t="str">
        <f aca="false">IF(B15="","",INDEX(Temas!$B$2:$B$21,MATCH(B15,Temas!$A$2:$A$21,0)))</f>
        <v/>
      </c>
      <c r="D15" s="11" t="str">
        <f aca="false">IF(OR(B15="",$D$25=0),"",C15/$D$25)</f>
        <v/>
      </c>
      <c r="E15" s="11" t="str">
        <f aca="false">IF(D15="","",E14+D15)</f>
        <v/>
      </c>
      <c r="F15" s="10" t="str">
        <f aca="false">IF(OR(B15="",C15=0),"",IF(E14&lt;0.8,"🔴 Prioridade",IF(E14&lt;0.95,"🟡 Planejar","🟢 Atendimento normal")))</f>
        <v/>
      </c>
    </row>
    <row r="16" customFormat="false" ht="15" hidden="false" customHeight="false" outlineLevel="0" collapsed="false">
      <c r="A16" s="9" t="n">
        <v>12</v>
      </c>
      <c r="B16" s="10" t="str">
        <f aca="false">IF(LARGE(Temas!$C$2:$C$21,12)&lt;0,"",INDEX(Temas!$A$2:$A$21,MATCH(LARGE(Temas!$C$2:$C$21,12),Temas!$C$2:$C$21,0)))</f>
        <v/>
      </c>
      <c r="C16" s="10" t="str">
        <f aca="false">IF(B16="","",INDEX(Temas!$B$2:$B$21,MATCH(B16,Temas!$A$2:$A$21,0)))</f>
        <v/>
      </c>
      <c r="D16" s="11" t="str">
        <f aca="false">IF(OR(B16="",$D$25=0),"",C16/$D$25)</f>
        <v/>
      </c>
      <c r="E16" s="11" t="str">
        <f aca="false">IF(D16="","",E15+D16)</f>
        <v/>
      </c>
      <c r="F16" s="10" t="str">
        <f aca="false">IF(OR(B16="",C16=0),"",IF(E15&lt;0.8,"🔴 Prioridade",IF(E15&lt;0.95,"🟡 Planejar","🟢 Atendimento normal")))</f>
        <v/>
      </c>
    </row>
    <row r="17" customFormat="false" ht="15" hidden="false" customHeight="false" outlineLevel="0" collapsed="false">
      <c r="A17" s="9" t="n">
        <v>13</v>
      </c>
      <c r="B17" s="10" t="str">
        <f aca="false">IF(LARGE(Temas!$C$2:$C$21,13)&lt;0,"",INDEX(Temas!$A$2:$A$21,MATCH(LARGE(Temas!$C$2:$C$21,13),Temas!$C$2:$C$21,0)))</f>
        <v/>
      </c>
      <c r="C17" s="10" t="str">
        <f aca="false">IF(B17="","",INDEX(Temas!$B$2:$B$21,MATCH(B17,Temas!$A$2:$A$21,0)))</f>
        <v/>
      </c>
      <c r="D17" s="11" t="str">
        <f aca="false">IF(OR(B17="",$D$25=0),"",C17/$D$25)</f>
        <v/>
      </c>
      <c r="E17" s="11" t="str">
        <f aca="false">IF(D17="","",E16+D17)</f>
        <v/>
      </c>
      <c r="F17" s="10" t="str">
        <f aca="false">IF(OR(B17="",C17=0),"",IF(E16&lt;0.8,"🔴 Prioridade",IF(E16&lt;0.95,"🟡 Planejar","🟢 Atendimento normal")))</f>
        <v/>
      </c>
    </row>
    <row r="18" customFormat="false" ht="15" hidden="false" customHeight="false" outlineLevel="0" collapsed="false">
      <c r="A18" s="9" t="n">
        <v>14</v>
      </c>
      <c r="B18" s="10" t="str">
        <f aca="false">IF(LARGE(Temas!$C$2:$C$21,14)&lt;0,"",INDEX(Temas!$A$2:$A$21,MATCH(LARGE(Temas!$C$2:$C$21,14),Temas!$C$2:$C$21,0)))</f>
        <v/>
      </c>
      <c r="C18" s="10" t="str">
        <f aca="false">IF(B18="","",INDEX(Temas!$B$2:$B$21,MATCH(B18,Temas!$A$2:$A$21,0)))</f>
        <v/>
      </c>
      <c r="D18" s="11" t="str">
        <f aca="false">IF(OR(B18="",$D$25=0),"",C18/$D$25)</f>
        <v/>
      </c>
      <c r="E18" s="11" t="str">
        <f aca="false">IF(D18="","",E17+D18)</f>
        <v/>
      </c>
      <c r="F18" s="10" t="str">
        <f aca="false">IF(OR(B18="",C18=0),"",IF(E17&lt;0.8,"🔴 Prioridade",IF(E17&lt;0.95,"🟡 Planejar","🟢 Atendimento normal")))</f>
        <v/>
      </c>
    </row>
    <row r="19" customFormat="false" ht="15" hidden="false" customHeight="false" outlineLevel="0" collapsed="false">
      <c r="A19" s="9" t="n">
        <v>15</v>
      </c>
      <c r="B19" s="10" t="str">
        <f aca="false">IF(LARGE(Temas!$C$2:$C$21,15)&lt;0,"",INDEX(Temas!$A$2:$A$21,MATCH(LARGE(Temas!$C$2:$C$21,15),Temas!$C$2:$C$21,0)))</f>
        <v/>
      </c>
      <c r="C19" s="10" t="str">
        <f aca="false">IF(B19="","",INDEX(Temas!$B$2:$B$21,MATCH(B19,Temas!$A$2:$A$21,0)))</f>
        <v/>
      </c>
      <c r="D19" s="11" t="str">
        <f aca="false">IF(OR(B19="",$D$25=0),"",C19/$D$25)</f>
        <v/>
      </c>
      <c r="E19" s="11" t="str">
        <f aca="false">IF(D19="","",E18+D19)</f>
        <v/>
      </c>
      <c r="F19" s="10" t="str">
        <f aca="false">IF(OR(B19="",C19=0),"",IF(E18&lt;0.8,"🔴 Prioridade",IF(E18&lt;0.95,"🟡 Planejar","🟢 Atendimento normal")))</f>
        <v/>
      </c>
    </row>
    <row r="20" customFormat="false" ht="15" hidden="false" customHeight="false" outlineLevel="0" collapsed="false">
      <c r="A20" s="9" t="n">
        <v>16</v>
      </c>
      <c r="B20" s="10" t="str">
        <f aca="false">IF(LARGE(Temas!$C$2:$C$21,16)&lt;0,"",INDEX(Temas!$A$2:$A$21,MATCH(LARGE(Temas!$C$2:$C$21,16),Temas!$C$2:$C$21,0)))</f>
        <v/>
      </c>
      <c r="C20" s="10" t="str">
        <f aca="false">IF(B20="","",INDEX(Temas!$B$2:$B$21,MATCH(B20,Temas!$A$2:$A$21,0)))</f>
        <v/>
      </c>
      <c r="D20" s="11" t="str">
        <f aca="false">IF(OR(B20="",$D$25=0),"",C20/$D$25)</f>
        <v/>
      </c>
      <c r="E20" s="11" t="str">
        <f aca="false">IF(D20="","",E19+D20)</f>
        <v/>
      </c>
      <c r="F20" s="10" t="str">
        <f aca="false">IF(OR(B20="",C20=0),"",IF(E19&lt;0.8,"🔴 Prioridade",IF(E19&lt;0.95,"🟡 Planejar","🟢 Atendimento normal")))</f>
        <v/>
      </c>
    </row>
    <row r="21" customFormat="false" ht="15" hidden="false" customHeight="false" outlineLevel="0" collapsed="false">
      <c r="A21" s="9" t="n">
        <v>17</v>
      </c>
      <c r="B21" s="10" t="str">
        <f aca="false">IF(LARGE(Temas!$C$2:$C$21,17)&lt;0,"",INDEX(Temas!$A$2:$A$21,MATCH(LARGE(Temas!$C$2:$C$21,17),Temas!$C$2:$C$21,0)))</f>
        <v/>
      </c>
      <c r="C21" s="10" t="str">
        <f aca="false">IF(B21="","",INDEX(Temas!$B$2:$B$21,MATCH(B21,Temas!$A$2:$A$21,0)))</f>
        <v/>
      </c>
      <c r="D21" s="11" t="str">
        <f aca="false">IF(OR(B21="",$D$25=0),"",C21/$D$25)</f>
        <v/>
      </c>
      <c r="E21" s="11" t="str">
        <f aca="false">IF(D21="","",E20+D21)</f>
        <v/>
      </c>
      <c r="F21" s="10" t="str">
        <f aca="false">IF(OR(B21="",C21=0),"",IF(E20&lt;0.8,"🔴 Prioridade",IF(E20&lt;0.95,"🟡 Planejar","🟢 Atendimento normal")))</f>
        <v/>
      </c>
    </row>
    <row r="22" customFormat="false" ht="15" hidden="false" customHeight="false" outlineLevel="0" collapsed="false">
      <c r="A22" s="9" t="n">
        <v>18</v>
      </c>
      <c r="B22" s="10" t="str">
        <f aca="false">IF(LARGE(Temas!$C$2:$C$21,18)&lt;0,"",INDEX(Temas!$A$2:$A$21,MATCH(LARGE(Temas!$C$2:$C$21,18),Temas!$C$2:$C$21,0)))</f>
        <v/>
      </c>
      <c r="C22" s="10" t="str">
        <f aca="false">IF(B22="","",INDEX(Temas!$B$2:$B$21,MATCH(B22,Temas!$A$2:$A$21,0)))</f>
        <v/>
      </c>
      <c r="D22" s="11" t="str">
        <f aca="false">IF(OR(B22="",$D$25=0),"",C22/$D$25)</f>
        <v/>
      </c>
      <c r="E22" s="11" t="str">
        <f aca="false">IF(D22="","",E21+D22)</f>
        <v/>
      </c>
      <c r="F22" s="10" t="str">
        <f aca="false">IF(OR(B22="",C22=0),"",IF(E21&lt;0.8,"🔴 Prioridade",IF(E21&lt;0.95,"🟡 Planejar","🟢 Atendimento normal")))</f>
        <v/>
      </c>
    </row>
    <row r="23" customFormat="false" ht="15" hidden="false" customHeight="false" outlineLevel="0" collapsed="false">
      <c r="A23" s="9" t="n">
        <v>19</v>
      </c>
      <c r="B23" s="10" t="str">
        <f aca="false">IF(LARGE(Temas!$C$2:$C$21,19)&lt;0,"",INDEX(Temas!$A$2:$A$21,MATCH(LARGE(Temas!$C$2:$C$21,19),Temas!$C$2:$C$21,0)))</f>
        <v/>
      </c>
      <c r="C23" s="10" t="str">
        <f aca="false">IF(B23="","",INDEX(Temas!$B$2:$B$21,MATCH(B23,Temas!$A$2:$A$21,0)))</f>
        <v/>
      </c>
      <c r="D23" s="11" t="str">
        <f aca="false">IF(OR(B23="",$D$25=0),"",C23/$D$25)</f>
        <v/>
      </c>
      <c r="E23" s="11" t="str">
        <f aca="false">IF(D23="","",E22+D23)</f>
        <v/>
      </c>
      <c r="F23" s="10" t="str">
        <f aca="false">IF(OR(B23="",C23=0),"",IF(E22&lt;0.8,"🔴 Prioridade",IF(E22&lt;0.95,"🟡 Planejar","🟢 Atendimento normal")))</f>
        <v/>
      </c>
    </row>
    <row r="24" customFormat="false" ht="15" hidden="false" customHeight="false" outlineLevel="0" collapsed="false">
      <c r="A24" s="9" t="n">
        <v>20</v>
      </c>
      <c r="B24" s="10" t="str">
        <f aca="false">IF(LARGE(Temas!$C$2:$C$21,20)&lt;0,"",INDEX(Temas!$A$2:$A$21,MATCH(LARGE(Temas!$C$2:$C$21,20),Temas!$C$2:$C$21,0)))</f>
        <v/>
      </c>
      <c r="C24" s="10" t="str">
        <f aca="false">IF(B24="","",INDEX(Temas!$B$2:$B$21,MATCH(B24,Temas!$A$2:$A$21,0)))</f>
        <v/>
      </c>
      <c r="D24" s="11" t="str">
        <f aca="false">IF(OR(B24="",$D$25=0),"",C24/$D$25)</f>
        <v/>
      </c>
      <c r="E24" s="11" t="str">
        <f aca="false">IF(D24="","",E23+D24)</f>
        <v/>
      </c>
      <c r="F24" s="10" t="str">
        <f aca="false">IF(OR(B24="",C24=0),"",IF(E23&lt;0.8,"🔴 Prioridade",IF(E23&lt;0.95,"🟡 Planejar","🟢 Atendimento normal")))</f>
        <v/>
      </c>
    </row>
    <row r="25" customFormat="false" ht="15" hidden="false" customHeight="false" outlineLevel="0" collapsed="false">
      <c r="B25" s="12" t="s">
        <v>22</v>
      </c>
      <c r="C25" s="12" t="n">
        <f aca="false">SUM(C5:C24)</f>
        <v>140</v>
      </c>
      <c r="D25" s="13" t="n">
        <f aca="false">SUM(Temas!B2:B21)</f>
        <v>140</v>
      </c>
    </row>
    <row r="27" customFormat="false" ht="15" hidden="false" customHeight="false" outlineLevel="0" collapsed="false">
      <c r="A27" s="14" t="s">
        <v>23</v>
      </c>
    </row>
  </sheetData>
  <conditionalFormatting sqref="A5:F24">
    <cfRule type="expression" priority="2" aboveAverage="0" equalAverage="0" bottom="0" percent="0" rank="0" text="" dxfId="0">
      <formula>LEFT($F5,1)="🔴"</formula>
    </cfRule>
    <cfRule type="expression" priority="3" aboveAverage="0" equalAverage="0" bottom="0" percent="0" rank="0" text="" dxfId="1">
      <formula>LEFT($F5,1)="🟡"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30" hidden="false" customHeight="true" outlineLevel="0" collapsed="false">
      <c r="A1" s="8" t="s">
        <v>24</v>
      </c>
      <c r="B1" s="8" t="s">
        <v>25</v>
      </c>
      <c r="C1" s="8" t="s">
        <v>26</v>
      </c>
    </row>
    <row r="2" customFormat="false" ht="15" hidden="false" customHeight="false" outlineLevel="0" collapsed="false">
      <c r="A2" s="15" t="s">
        <v>27</v>
      </c>
      <c r="B2" s="16" t="n">
        <f aca="false">IF(A2="","",COUNTIF(Chamados!$C$2:$C$2000,A2))</f>
        <v>52</v>
      </c>
      <c r="C2" s="17" t="n">
        <f aca="false">IF(A2="",-1,B2+(100-ROW())/1000)</f>
        <v>52.098</v>
      </c>
    </row>
    <row r="3" customFormat="false" ht="15" hidden="false" customHeight="false" outlineLevel="0" collapsed="false">
      <c r="A3" s="15" t="s">
        <v>28</v>
      </c>
      <c r="B3" s="16" t="n">
        <f aca="false">IF(A3="","",COUNTIF(Chamados!$C$2:$C$2000,A3))</f>
        <v>38</v>
      </c>
      <c r="C3" s="17" t="n">
        <f aca="false">IF(A3="",-1,B3+(100-ROW())/1000)</f>
        <v>38.097</v>
      </c>
    </row>
    <row r="4" customFormat="false" ht="15" hidden="false" customHeight="false" outlineLevel="0" collapsed="false">
      <c r="A4" s="15" t="s">
        <v>29</v>
      </c>
      <c r="B4" s="16" t="n">
        <f aca="false">IF(A4="","",COUNTIF(Chamados!$C$2:$C$2000,A4))</f>
        <v>22</v>
      </c>
      <c r="C4" s="17" t="n">
        <f aca="false">IF(A4="",-1,B4+(100-ROW())/1000)</f>
        <v>22.096</v>
      </c>
    </row>
    <row r="5" customFormat="false" ht="15" hidden="false" customHeight="false" outlineLevel="0" collapsed="false">
      <c r="A5" s="15" t="s">
        <v>30</v>
      </c>
      <c r="B5" s="16" t="n">
        <f aca="false">IF(A5="","",COUNTIF(Chamados!$C$2:$C$2000,A5))</f>
        <v>9</v>
      </c>
      <c r="C5" s="17" t="n">
        <f aca="false">IF(A5="",-1,B5+(100-ROW())/1000)</f>
        <v>9.095</v>
      </c>
    </row>
    <row r="6" customFormat="false" ht="15" hidden="false" customHeight="false" outlineLevel="0" collapsed="false">
      <c r="A6" s="15" t="s">
        <v>31</v>
      </c>
      <c r="B6" s="16" t="n">
        <f aca="false">IF(A6="","",COUNTIF(Chamados!$C$2:$C$2000,A6))</f>
        <v>7</v>
      </c>
      <c r="C6" s="17" t="n">
        <f aca="false">IF(A6="",-1,B6+(100-ROW())/1000)</f>
        <v>7.094</v>
      </c>
    </row>
    <row r="7" customFormat="false" ht="15" hidden="false" customHeight="false" outlineLevel="0" collapsed="false">
      <c r="A7" s="15" t="s">
        <v>32</v>
      </c>
      <c r="B7" s="16" t="n">
        <f aca="false">IF(A7="","",COUNTIF(Chamados!$C$2:$C$2000,A7))</f>
        <v>6</v>
      </c>
      <c r="C7" s="17" t="n">
        <f aca="false">IF(A7="",-1,B7+(100-ROW())/1000)</f>
        <v>6.093</v>
      </c>
    </row>
    <row r="8" customFormat="false" ht="15" hidden="false" customHeight="false" outlineLevel="0" collapsed="false">
      <c r="A8" s="15" t="s">
        <v>33</v>
      </c>
      <c r="B8" s="16" t="n">
        <f aca="false">IF(A8="","",COUNTIF(Chamados!$C$2:$C$2000,A8))</f>
        <v>6</v>
      </c>
      <c r="C8" s="17" t="n">
        <f aca="false">IF(A8="",-1,B8+(100-ROW())/1000)</f>
        <v>6.092</v>
      </c>
    </row>
    <row r="9" customFormat="false" ht="15" hidden="false" customHeight="false" outlineLevel="0" collapsed="false">
      <c r="A9" s="15"/>
      <c r="B9" s="16" t="str">
        <f aca="false">IF(A9="","",COUNTIF(Chamados!$C$2:$C$2000,A9))</f>
        <v/>
      </c>
      <c r="C9" s="17" t="n">
        <f aca="false">IF(A9="",-1,B9+(100-ROW())/1000)</f>
        <v>-1</v>
      </c>
    </row>
    <row r="10" customFormat="false" ht="15" hidden="false" customHeight="false" outlineLevel="0" collapsed="false">
      <c r="A10" s="15"/>
      <c r="B10" s="16" t="str">
        <f aca="false">IF(A10="","",COUNTIF(Chamados!$C$2:$C$2000,A10))</f>
        <v/>
      </c>
      <c r="C10" s="17" t="n">
        <f aca="false">IF(A10="",-1,B10+(100-ROW())/1000)</f>
        <v>-1</v>
      </c>
    </row>
    <row r="11" customFormat="false" ht="15" hidden="false" customHeight="false" outlineLevel="0" collapsed="false">
      <c r="A11" s="15"/>
      <c r="B11" s="16" t="str">
        <f aca="false">IF(A11="","",COUNTIF(Chamados!$C$2:$C$2000,A11))</f>
        <v/>
      </c>
      <c r="C11" s="17" t="n">
        <f aca="false">IF(A11="",-1,B11+(100-ROW())/1000)</f>
        <v>-1</v>
      </c>
    </row>
    <row r="12" customFormat="false" ht="15" hidden="false" customHeight="false" outlineLevel="0" collapsed="false">
      <c r="A12" s="15"/>
      <c r="B12" s="16" t="str">
        <f aca="false">IF(A12="","",COUNTIF(Chamados!$C$2:$C$2000,A12))</f>
        <v/>
      </c>
      <c r="C12" s="17" t="n">
        <f aca="false">IF(A12="",-1,B12+(100-ROW())/1000)</f>
        <v>-1</v>
      </c>
    </row>
    <row r="13" customFormat="false" ht="15" hidden="false" customHeight="false" outlineLevel="0" collapsed="false">
      <c r="A13" s="15"/>
      <c r="B13" s="16" t="str">
        <f aca="false">IF(A13="","",COUNTIF(Chamados!$C$2:$C$2000,A13))</f>
        <v/>
      </c>
      <c r="C13" s="17" t="n">
        <f aca="false">IF(A13="",-1,B13+(100-ROW())/1000)</f>
        <v>-1</v>
      </c>
    </row>
    <row r="14" customFormat="false" ht="15" hidden="false" customHeight="false" outlineLevel="0" collapsed="false">
      <c r="A14" s="15"/>
      <c r="B14" s="16" t="str">
        <f aca="false">IF(A14="","",COUNTIF(Chamados!$C$2:$C$2000,A14))</f>
        <v/>
      </c>
      <c r="C14" s="17" t="n">
        <f aca="false">IF(A14="",-1,B14+(100-ROW())/1000)</f>
        <v>-1</v>
      </c>
    </row>
    <row r="15" customFormat="false" ht="15" hidden="false" customHeight="false" outlineLevel="0" collapsed="false">
      <c r="A15" s="15"/>
      <c r="B15" s="16" t="str">
        <f aca="false">IF(A15="","",COUNTIF(Chamados!$C$2:$C$2000,A15))</f>
        <v/>
      </c>
      <c r="C15" s="17" t="n">
        <f aca="false">IF(A15="",-1,B15+(100-ROW())/1000)</f>
        <v>-1</v>
      </c>
    </row>
    <row r="16" customFormat="false" ht="15" hidden="false" customHeight="false" outlineLevel="0" collapsed="false">
      <c r="A16" s="15"/>
      <c r="B16" s="16" t="str">
        <f aca="false">IF(A16="","",COUNTIF(Chamados!$C$2:$C$2000,A16))</f>
        <v/>
      </c>
      <c r="C16" s="17" t="n">
        <f aca="false">IF(A16="",-1,B16+(100-ROW())/1000)</f>
        <v>-1</v>
      </c>
    </row>
    <row r="17" customFormat="false" ht="15" hidden="false" customHeight="false" outlineLevel="0" collapsed="false">
      <c r="A17" s="15"/>
      <c r="B17" s="16" t="str">
        <f aca="false">IF(A17="","",COUNTIF(Chamados!$C$2:$C$2000,A17))</f>
        <v/>
      </c>
      <c r="C17" s="17" t="n">
        <f aca="false">IF(A17="",-1,B17+(100-ROW())/1000)</f>
        <v>-1</v>
      </c>
    </row>
    <row r="18" customFormat="false" ht="15" hidden="false" customHeight="false" outlineLevel="0" collapsed="false">
      <c r="A18" s="15"/>
      <c r="B18" s="16" t="str">
        <f aca="false">IF(A18="","",COUNTIF(Chamados!$C$2:$C$2000,A18))</f>
        <v/>
      </c>
      <c r="C18" s="17" t="n">
        <f aca="false">IF(A18="",-1,B18+(100-ROW())/1000)</f>
        <v>-1</v>
      </c>
    </row>
    <row r="19" customFormat="false" ht="15" hidden="false" customHeight="false" outlineLevel="0" collapsed="false">
      <c r="A19" s="15"/>
      <c r="B19" s="16" t="str">
        <f aca="false">IF(A19="","",COUNTIF(Chamados!$C$2:$C$2000,A19))</f>
        <v/>
      </c>
      <c r="C19" s="17" t="n">
        <f aca="false">IF(A19="",-1,B19+(100-ROW())/1000)</f>
        <v>-1</v>
      </c>
    </row>
    <row r="20" customFormat="false" ht="15" hidden="false" customHeight="false" outlineLevel="0" collapsed="false">
      <c r="A20" s="15"/>
      <c r="B20" s="16" t="str">
        <f aca="false">IF(A20="","",COUNTIF(Chamados!$C$2:$C$2000,A20))</f>
        <v/>
      </c>
      <c r="C20" s="17" t="n">
        <f aca="false">IF(A20="",-1,B20+(100-ROW())/1000)</f>
        <v>-1</v>
      </c>
    </row>
    <row r="21" customFormat="false" ht="15" hidden="false" customHeight="false" outlineLevel="0" collapsed="false">
      <c r="A21" s="15"/>
      <c r="B21" s="16" t="str">
        <f aca="false">IF(A21="","",COUNTIF(Chamados!$C$2:$C$2000,A21))</f>
        <v/>
      </c>
      <c r="C21" s="17" t="n">
        <f aca="false">IF(A21="",-1,B21+(100-ROW())/1000)</f>
        <v>-1</v>
      </c>
    </row>
    <row r="23" customFormat="false" ht="15" hidden="false" customHeight="false" outlineLevel="0" collapsed="false">
      <c r="A23" s="1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36"/>
    <col collapsed="false" customWidth="true" hidden="false" outlineLevel="0" max="4" min="4" style="0" width="60"/>
  </cols>
  <sheetData>
    <row r="1" customFormat="false" ht="30" hidden="false" customHeight="true" outlineLevel="0" collapsed="false">
      <c r="A1" s="8" t="s">
        <v>35</v>
      </c>
      <c r="B1" s="8" t="s">
        <v>36</v>
      </c>
      <c r="C1" s="8" t="s">
        <v>17</v>
      </c>
      <c r="D1" s="8" t="s">
        <v>37</v>
      </c>
    </row>
    <row r="2" customFormat="false" ht="15" hidden="false" customHeight="false" outlineLevel="0" collapsed="false">
      <c r="A2" s="16" t="s">
        <v>38</v>
      </c>
      <c r="B2" s="18" t="n">
        <v>46266</v>
      </c>
      <c r="C2" s="19" t="s">
        <v>27</v>
      </c>
      <c r="D2" s="17" t="s">
        <v>39</v>
      </c>
    </row>
    <row r="3" customFormat="false" ht="15" hidden="false" customHeight="false" outlineLevel="0" collapsed="false">
      <c r="A3" s="16" t="s">
        <v>40</v>
      </c>
      <c r="B3" s="18" t="n">
        <v>46267</v>
      </c>
      <c r="C3" s="19" t="s">
        <v>29</v>
      </c>
      <c r="D3" s="17" t="s">
        <v>39</v>
      </c>
    </row>
    <row r="4" customFormat="false" ht="15" hidden="false" customHeight="false" outlineLevel="0" collapsed="false">
      <c r="A4" s="16" t="s">
        <v>41</v>
      </c>
      <c r="B4" s="18" t="n">
        <v>46268</v>
      </c>
      <c r="C4" s="19" t="s">
        <v>28</v>
      </c>
      <c r="D4" s="17" t="s">
        <v>39</v>
      </c>
    </row>
    <row r="5" customFormat="false" ht="15" hidden="false" customHeight="false" outlineLevel="0" collapsed="false">
      <c r="A5" s="16" t="s">
        <v>42</v>
      </c>
      <c r="B5" s="18" t="n">
        <v>46269</v>
      </c>
      <c r="C5" s="19" t="s">
        <v>27</v>
      </c>
      <c r="D5" s="17" t="s">
        <v>39</v>
      </c>
    </row>
    <row r="6" customFormat="false" ht="15" hidden="false" customHeight="false" outlineLevel="0" collapsed="false">
      <c r="A6" s="16" t="s">
        <v>43</v>
      </c>
      <c r="B6" s="18" t="n">
        <v>46270</v>
      </c>
      <c r="C6" s="19" t="s">
        <v>28</v>
      </c>
      <c r="D6" s="17" t="s">
        <v>39</v>
      </c>
    </row>
    <row r="7" customFormat="false" ht="15" hidden="false" customHeight="false" outlineLevel="0" collapsed="false">
      <c r="A7" s="16" t="s">
        <v>44</v>
      </c>
      <c r="B7" s="18" t="n">
        <v>46271</v>
      </c>
      <c r="C7" s="19" t="s">
        <v>27</v>
      </c>
      <c r="D7" s="17" t="s">
        <v>39</v>
      </c>
    </row>
    <row r="8" customFormat="false" ht="15" hidden="false" customHeight="false" outlineLevel="0" collapsed="false">
      <c r="A8" s="16" t="s">
        <v>45</v>
      </c>
      <c r="B8" s="18" t="n">
        <v>46272</v>
      </c>
      <c r="C8" s="19" t="s">
        <v>32</v>
      </c>
      <c r="D8" s="17" t="s">
        <v>39</v>
      </c>
    </row>
    <row r="9" customFormat="false" ht="15" hidden="false" customHeight="false" outlineLevel="0" collapsed="false">
      <c r="A9" s="16" t="s">
        <v>46</v>
      </c>
      <c r="B9" s="18" t="n">
        <v>46273</v>
      </c>
      <c r="C9" s="19" t="s">
        <v>28</v>
      </c>
      <c r="D9" s="17" t="s">
        <v>39</v>
      </c>
    </row>
    <row r="10" customFormat="false" ht="15" hidden="false" customHeight="false" outlineLevel="0" collapsed="false">
      <c r="A10" s="16" t="s">
        <v>47</v>
      </c>
      <c r="B10" s="18" t="n">
        <v>46274</v>
      </c>
      <c r="C10" s="19" t="s">
        <v>27</v>
      </c>
      <c r="D10" s="17" t="s">
        <v>39</v>
      </c>
    </row>
    <row r="11" customFormat="false" ht="15" hidden="false" customHeight="false" outlineLevel="0" collapsed="false">
      <c r="A11" s="16" t="s">
        <v>48</v>
      </c>
      <c r="B11" s="18" t="n">
        <v>46275</v>
      </c>
      <c r="C11" s="19" t="s">
        <v>33</v>
      </c>
      <c r="D11" s="17" t="s">
        <v>39</v>
      </c>
    </row>
    <row r="12" customFormat="false" ht="15" hidden="false" customHeight="false" outlineLevel="0" collapsed="false">
      <c r="A12" s="16" t="s">
        <v>49</v>
      </c>
      <c r="B12" s="18" t="n">
        <v>46276</v>
      </c>
      <c r="C12" s="19" t="s">
        <v>28</v>
      </c>
      <c r="D12" s="17" t="s">
        <v>39</v>
      </c>
    </row>
    <row r="13" customFormat="false" ht="15" hidden="false" customHeight="false" outlineLevel="0" collapsed="false">
      <c r="A13" s="16" t="s">
        <v>50</v>
      </c>
      <c r="B13" s="18" t="n">
        <v>46277</v>
      </c>
      <c r="C13" s="19" t="s">
        <v>27</v>
      </c>
      <c r="D13" s="17" t="s">
        <v>39</v>
      </c>
    </row>
    <row r="14" customFormat="false" ht="15" hidden="false" customHeight="false" outlineLevel="0" collapsed="false">
      <c r="A14" s="16" t="s">
        <v>51</v>
      </c>
      <c r="B14" s="18" t="n">
        <v>46278</v>
      </c>
      <c r="C14" s="19" t="s">
        <v>29</v>
      </c>
      <c r="D14" s="17" t="s">
        <v>39</v>
      </c>
    </row>
    <row r="15" customFormat="false" ht="15" hidden="false" customHeight="false" outlineLevel="0" collapsed="false">
      <c r="A15" s="16" t="s">
        <v>52</v>
      </c>
      <c r="B15" s="18" t="n">
        <v>46279</v>
      </c>
      <c r="C15" s="19" t="s">
        <v>27</v>
      </c>
      <c r="D15" s="17" t="s">
        <v>39</v>
      </c>
    </row>
    <row r="16" customFormat="false" ht="15" hidden="false" customHeight="false" outlineLevel="0" collapsed="false">
      <c r="A16" s="16" t="s">
        <v>53</v>
      </c>
      <c r="B16" s="18" t="n">
        <v>46280</v>
      </c>
      <c r="C16" s="19" t="s">
        <v>28</v>
      </c>
      <c r="D16" s="17" t="s">
        <v>39</v>
      </c>
    </row>
    <row r="17" customFormat="false" ht="15" hidden="false" customHeight="false" outlineLevel="0" collapsed="false">
      <c r="A17" s="16" t="s">
        <v>54</v>
      </c>
      <c r="B17" s="18" t="n">
        <v>46281</v>
      </c>
      <c r="C17" s="19" t="s">
        <v>27</v>
      </c>
      <c r="D17" s="17" t="s">
        <v>39</v>
      </c>
    </row>
    <row r="18" customFormat="false" ht="15" hidden="false" customHeight="false" outlineLevel="0" collapsed="false">
      <c r="A18" s="16" t="s">
        <v>55</v>
      </c>
      <c r="B18" s="18" t="n">
        <v>46282</v>
      </c>
      <c r="C18" s="19" t="s">
        <v>28</v>
      </c>
      <c r="D18" s="17" t="s">
        <v>39</v>
      </c>
    </row>
    <row r="19" customFormat="false" ht="15" hidden="false" customHeight="false" outlineLevel="0" collapsed="false">
      <c r="A19" s="16" t="s">
        <v>56</v>
      </c>
      <c r="B19" s="18" t="n">
        <v>46283</v>
      </c>
      <c r="C19" s="19" t="s">
        <v>29</v>
      </c>
      <c r="D19" s="17" t="s">
        <v>39</v>
      </c>
    </row>
    <row r="20" customFormat="false" ht="15" hidden="false" customHeight="false" outlineLevel="0" collapsed="false">
      <c r="A20" s="16" t="s">
        <v>57</v>
      </c>
      <c r="B20" s="18" t="n">
        <v>46284</v>
      </c>
      <c r="C20" s="19" t="s">
        <v>27</v>
      </c>
      <c r="D20" s="17" t="s">
        <v>39</v>
      </c>
    </row>
    <row r="21" customFormat="false" ht="15" hidden="false" customHeight="false" outlineLevel="0" collapsed="false">
      <c r="A21" s="16" t="s">
        <v>58</v>
      </c>
      <c r="B21" s="18" t="n">
        <v>46285</v>
      </c>
      <c r="C21" s="19" t="s">
        <v>29</v>
      </c>
      <c r="D21" s="17" t="s">
        <v>39</v>
      </c>
    </row>
    <row r="22" customFormat="false" ht="15" hidden="false" customHeight="false" outlineLevel="0" collapsed="false">
      <c r="A22" s="16" t="s">
        <v>59</v>
      </c>
      <c r="B22" s="18" t="n">
        <v>46286</v>
      </c>
      <c r="C22" s="19" t="s">
        <v>27</v>
      </c>
      <c r="D22" s="17" t="s">
        <v>39</v>
      </c>
    </row>
    <row r="23" customFormat="false" ht="15" hidden="false" customHeight="false" outlineLevel="0" collapsed="false">
      <c r="A23" s="16" t="s">
        <v>60</v>
      </c>
      <c r="B23" s="18" t="n">
        <v>46287</v>
      </c>
      <c r="C23" s="19" t="s">
        <v>28</v>
      </c>
      <c r="D23" s="17" t="s">
        <v>39</v>
      </c>
    </row>
    <row r="24" customFormat="false" ht="15" hidden="false" customHeight="false" outlineLevel="0" collapsed="false">
      <c r="A24" s="16" t="s">
        <v>61</v>
      </c>
      <c r="B24" s="18" t="n">
        <v>46288</v>
      </c>
      <c r="C24" s="19" t="s">
        <v>28</v>
      </c>
      <c r="D24" s="17" t="s">
        <v>39</v>
      </c>
    </row>
    <row r="25" customFormat="false" ht="15" hidden="false" customHeight="false" outlineLevel="0" collapsed="false">
      <c r="A25" s="16" t="s">
        <v>62</v>
      </c>
      <c r="B25" s="18" t="n">
        <v>46289</v>
      </c>
      <c r="C25" s="19" t="s">
        <v>28</v>
      </c>
      <c r="D25" s="17" t="s">
        <v>39</v>
      </c>
    </row>
    <row r="26" customFormat="false" ht="15" hidden="false" customHeight="false" outlineLevel="0" collapsed="false">
      <c r="A26" s="16" t="s">
        <v>63</v>
      </c>
      <c r="B26" s="18" t="n">
        <v>46290</v>
      </c>
      <c r="C26" s="19" t="s">
        <v>32</v>
      </c>
      <c r="D26" s="17" t="s">
        <v>39</v>
      </c>
    </row>
    <row r="27" customFormat="false" ht="15" hidden="false" customHeight="false" outlineLevel="0" collapsed="false">
      <c r="A27" s="16" t="s">
        <v>64</v>
      </c>
      <c r="B27" s="18" t="n">
        <v>46291</v>
      </c>
      <c r="C27" s="19" t="s">
        <v>27</v>
      </c>
      <c r="D27" s="17" t="s">
        <v>39</v>
      </c>
    </row>
    <row r="28" customFormat="false" ht="15" hidden="false" customHeight="false" outlineLevel="0" collapsed="false">
      <c r="A28" s="16" t="s">
        <v>65</v>
      </c>
      <c r="B28" s="18" t="n">
        <v>46292</v>
      </c>
      <c r="C28" s="19" t="s">
        <v>31</v>
      </c>
      <c r="D28" s="17" t="s">
        <v>39</v>
      </c>
    </row>
    <row r="29" customFormat="false" ht="15" hidden="false" customHeight="false" outlineLevel="0" collapsed="false">
      <c r="A29" s="16" t="s">
        <v>66</v>
      </c>
      <c r="B29" s="18" t="n">
        <v>46293</v>
      </c>
      <c r="C29" s="19" t="s">
        <v>27</v>
      </c>
      <c r="D29" s="17" t="s">
        <v>39</v>
      </c>
    </row>
    <row r="30" customFormat="false" ht="15" hidden="false" customHeight="false" outlineLevel="0" collapsed="false">
      <c r="A30" s="16" t="s">
        <v>67</v>
      </c>
      <c r="B30" s="18" t="n">
        <v>46294</v>
      </c>
      <c r="C30" s="19" t="s">
        <v>29</v>
      </c>
      <c r="D30" s="17" t="s">
        <v>39</v>
      </c>
    </row>
    <row r="31" customFormat="false" ht="15" hidden="false" customHeight="false" outlineLevel="0" collapsed="false">
      <c r="A31" s="16" t="s">
        <v>68</v>
      </c>
      <c r="B31" s="18" t="n">
        <v>46295</v>
      </c>
      <c r="C31" s="19" t="s">
        <v>28</v>
      </c>
      <c r="D31" s="17" t="s">
        <v>39</v>
      </c>
    </row>
    <row r="32" customFormat="false" ht="15" hidden="false" customHeight="false" outlineLevel="0" collapsed="false">
      <c r="A32" s="16" t="s">
        <v>69</v>
      </c>
      <c r="B32" s="18" t="n">
        <v>46266</v>
      </c>
      <c r="C32" s="19" t="s">
        <v>28</v>
      </c>
      <c r="D32" s="17" t="s">
        <v>39</v>
      </c>
    </row>
    <row r="33" customFormat="false" ht="15" hidden="false" customHeight="false" outlineLevel="0" collapsed="false">
      <c r="A33" s="16" t="s">
        <v>70</v>
      </c>
      <c r="B33" s="18" t="n">
        <v>46267</v>
      </c>
      <c r="C33" s="19" t="s">
        <v>29</v>
      </c>
      <c r="D33" s="17" t="s">
        <v>39</v>
      </c>
    </row>
    <row r="34" customFormat="false" ht="15" hidden="false" customHeight="false" outlineLevel="0" collapsed="false">
      <c r="A34" s="16" t="s">
        <v>71</v>
      </c>
      <c r="B34" s="18" t="n">
        <v>46268</v>
      </c>
      <c r="C34" s="19" t="s">
        <v>27</v>
      </c>
      <c r="D34" s="17" t="s">
        <v>39</v>
      </c>
    </row>
    <row r="35" customFormat="false" ht="15" hidden="false" customHeight="false" outlineLevel="0" collapsed="false">
      <c r="A35" s="16" t="s">
        <v>72</v>
      </c>
      <c r="B35" s="18" t="n">
        <v>46269</v>
      </c>
      <c r="C35" s="19" t="s">
        <v>27</v>
      </c>
      <c r="D35" s="17" t="s">
        <v>39</v>
      </c>
    </row>
    <row r="36" customFormat="false" ht="15" hidden="false" customHeight="false" outlineLevel="0" collapsed="false">
      <c r="A36" s="16" t="s">
        <v>73</v>
      </c>
      <c r="B36" s="18" t="n">
        <v>46270</v>
      </c>
      <c r="C36" s="19" t="s">
        <v>29</v>
      </c>
      <c r="D36" s="17" t="s">
        <v>39</v>
      </c>
    </row>
    <row r="37" customFormat="false" ht="15" hidden="false" customHeight="false" outlineLevel="0" collapsed="false">
      <c r="A37" s="16" t="s">
        <v>74</v>
      </c>
      <c r="B37" s="18" t="n">
        <v>46271</v>
      </c>
      <c r="C37" s="19" t="s">
        <v>31</v>
      </c>
      <c r="D37" s="17" t="s">
        <v>39</v>
      </c>
    </row>
    <row r="38" customFormat="false" ht="15" hidden="false" customHeight="false" outlineLevel="0" collapsed="false">
      <c r="A38" s="16" t="s">
        <v>75</v>
      </c>
      <c r="B38" s="18" t="n">
        <v>46272</v>
      </c>
      <c r="C38" s="19" t="s">
        <v>29</v>
      </c>
      <c r="D38" s="17" t="s">
        <v>39</v>
      </c>
    </row>
    <row r="39" customFormat="false" ht="15" hidden="false" customHeight="false" outlineLevel="0" collapsed="false">
      <c r="A39" s="16" t="s">
        <v>76</v>
      </c>
      <c r="B39" s="18" t="n">
        <v>46273</v>
      </c>
      <c r="C39" s="19" t="s">
        <v>29</v>
      </c>
      <c r="D39" s="17" t="s">
        <v>39</v>
      </c>
    </row>
    <row r="40" customFormat="false" ht="15" hidden="false" customHeight="false" outlineLevel="0" collapsed="false">
      <c r="A40" s="16" t="s">
        <v>77</v>
      </c>
      <c r="B40" s="18" t="n">
        <v>46274</v>
      </c>
      <c r="C40" s="19" t="s">
        <v>27</v>
      </c>
      <c r="D40" s="17" t="s">
        <v>39</v>
      </c>
    </row>
    <row r="41" customFormat="false" ht="15" hidden="false" customHeight="false" outlineLevel="0" collapsed="false">
      <c r="A41" s="16" t="s">
        <v>78</v>
      </c>
      <c r="B41" s="18" t="n">
        <v>46275</v>
      </c>
      <c r="C41" s="19" t="s">
        <v>27</v>
      </c>
      <c r="D41" s="17" t="s">
        <v>39</v>
      </c>
    </row>
    <row r="42" customFormat="false" ht="15" hidden="false" customHeight="false" outlineLevel="0" collapsed="false">
      <c r="A42" s="16" t="s">
        <v>79</v>
      </c>
      <c r="B42" s="18" t="n">
        <v>46276</v>
      </c>
      <c r="C42" s="19" t="s">
        <v>29</v>
      </c>
      <c r="D42" s="17" t="s">
        <v>39</v>
      </c>
    </row>
    <row r="43" customFormat="false" ht="15" hidden="false" customHeight="false" outlineLevel="0" collapsed="false">
      <c r="A43" s="16" t="s">
        <v>80</v>
      </c>
      <c r="B43" s="18" t="n">
        <v>46277</v>
      </c>
      <c r="C43" s="19" t="s">
        <v>29</v>
      </c>
      <c r="D43" s="17" t="s">
        <v>39</v>
      </c>
    </row>
    <row r="44" customFormat="false" ht="15" hidden="false" customHeight="false" outlineLevel="0" collapsed="false">
      <c r="A44" s="16" t="s">
        <v>81</v>
      </c>
      <c r="B44" s="18" t="n">
        <v>46278</v>
      </c>
      <c r="C44" s="19" t="s">
        <v>28</v>
      </c>
      <c r="D44" s="17" t="s">
        <v>39</v>
      </c>
    </row>
    <row r="45" customFormat="false" ht="15" hidden="false" customHeight="false" outlineLevel="0" collapsed="false">
      <c r="A45" s="16" t="s">
        <v>82</v>
      </c>
      <c r="B45" s="18" t="n">
        <v>46279</v>
      </c>
      <c r="C45" s="19" t="s">
        <v>32</v>
      </c>
      <c r="D45" s="17" t="s">
        <v>39</v>
      </c>
    </row>
    <row r="46" customFormat="false" ht="15" hidden="false" customHeight="false" outlineLevel="0" collapsed="false">
      <c r="A46" s="16" t="s">
        <v>83</v>
      </c>
      <c r="B46" s="18" t="n">
        <v>46280</v>
      </c>
      <c r="C46" s="19" t="s">
        <v>28</v>
      </c>
      <c r="D46" s="17" t="s">
        <v>39</v>
      </c>
    </row>
    <row r="47" customFormat="false" ht="15" hidden="false" customHeight="false" outlineLevel="0" collapsed="false">
      <c r="A47" s="16" t="s">
        <v>84</v>
      </c>
      <c r="B47" s="18" t="n">
        <v>46281</v>
      </c>
      <c r="C47" s="19" t="s">
        <v>27</v>
      </c>
      <c r="D47" s="17" t="s">
        <v>39</v>
      </c>
    </row>
    <row r="48" customFormat="false" ht="15" hidden="false" customHeight="false" outlineLevel="0" collapsed="false">
      <c r="A48" s="16" t="s">
        <v>85</v>
      </c>
      <c r="B48" s="18" t="n">
        <v>46282</v>
      </c>
      <c r="C48" s="19" t="s">
        <v>28</v>
      </c>
      <c r="D48" s="17" t="s">
        <v>39</v>
      </c>
    </row>
    <row r="49" customFormat="false" ht="15" hidden="false" customHeight="false" outlineLevel="0" collapsed="false">
      <c r="A49" s="16" t="s">
        <v>86</v>
      </c>
      <c r="B49" s="18" t="n">
        <v>46283</v>
      </c>
      <c r="C49" s="19" t="s">
        <v>27</v>
      </c>
      <c r="D49" s="17" t="s">
        <v>39</v>
      </c>
    </row>
    <row r="50" customFormat="false" ht="15" hidden="false" customHeight="false" outlineLevel="0" collapsed="false">
      <c r="A50" s="16" t="s">
        <v>87</v>
      </c>
      <c r="B50" s="18" t="n">
        <v>46284</v>
      </c>
      <c r="C50" s="19" t="s">
        <v>28</v>
      </c>
      <c r="D50" s="17" t="s">
        <v>39</v>
      </c>
    </row>
    <row r="51" customFormat="false" ht="15" hidden="false" customHeight="false" outlineLevel="0" collapsed="false">
      <c r="A51" s="16" t="s">
        <v>88</v>
      </c>
      <c r="B51" s="18" t="n">
        <v>46285</v>
      </c>
      <c r="C51" s="19" t="s">
        <v>28</v>
      </c>
      <c r="D51" s="17" t="s">
        <v>39</v>
      </c>
    </row>
    <row r="52" customFormat="false" ht="15" hidden="false" customHeight="false" outlineLevel="0" collapsed="false">
      <c r="A52" s="16" t="s">
        <v>89</v>
      </c>
      <c r="B52" s="18" t="n">
        <v>46286</v>
      </c>
      <c r="C52" s="19" t="s">
        <v>27</v>
      </c>
      <c r="D52" s="17" t="s">
        <v>39</v>
      </c>
    </row>
    <row r="53" customFormat="false" ht="15" hidden="false" customHeight="false" outlineLevel="0" collapsed="false">
      <c r="A53" s="16" t="s">
        <v>90</v>
      </c>
      <c r="B53" s="18" t="n">
        <v>46287</v>
      </c>
      <c r="C53" s="19" t="s">
        <v>27</v>
      </c>
      <c r="D53" s="17" t="s">
        <v>39</v>
      </c>
    </row>
    <row r="54" customFormat="false" ht="15" hidden="false" customHeight="false" outlineLevel="0" collapsed="false">
      <c r="A54" s="16" t="s">
        <v>91</v>
      </c>
      <c r="B54" s="18" t="n">
        <v>46288</v>
      </c>
      <c r="C54" s="19" t="s">
        <v>28</v>
      </c>
      <c r="D54" s="17" t="s">
        <v>39</v>
      </c>
    </row>
    <row r="55" customFormat="false" ht="15" hidden="false" customHeight="false" outlineLevel="0" collapsed="false">
      <c r="A55" s="16" t="s">
        <v>92</v>
      </c>
      <c r="B55" s="18" t="n">
        <v>46289</v>
      </c>
      <c r="C55" s="19" t="s">
        <v>29</v>
      </c>
      <c r="D55" s="17" t="s">
        <v>39</v>
      </c>
    </row>
    <row r="56" customFormat="false" ht="15" hidden="false" customHeight="false" outlineLevel="0" collapsed="false">
      <c r="A56" s="16" t="s">
        <v>93</v>
      </c>
      <c r="B56" s="18" t="n">
        <v>46290</v>
      </c>
      <c r="C56" s="19" t="s">
        <v>32</v>
      </c>
      <c r="D56" s="17" t="s">
        <v>39</v>
      </c>
    </row>
    <row r="57" customFormat="false" ht="15" hidden="false" customHeight="false" outlineLevel="0" collapsed="false">
      <c r="A57" s="16" t="s">
        <v>94</v>
      </c>
      <c r="B57" s="18" t="n">
        <v>46291</v>
      </c>
      <c r="C57" s="19" t="s">
        <v>27</v>
      </c>
      <c r="D57" s="17" t="s">
        <v>39</v>
      </c>
    </row>
    <row r="58" customFormat="false" ht="15" hidden="false" customHeight="false" outlineLevel="0" collapsed="false">
      <c r="A58" s="16" t="s">
        <v>95</v>
      </c>
      <c r="B58" s="18" t="n">
        <v>46292</v>
      </c>
      <c r="C58" s="19" t="s">
        <v>27</v>
      </c>
      <c r="D58" s="17" t="s">
        <v>39</v>
      </c>
    </row>
    <row r="59" customFormat="false" ht="15" hidden="false" customHeight="false" outlineLevel="0" collapsed="false">
      <c r="A59" s="16" t="s">
        <v>96</v>
      </c>
      <c r="B59" s="18" t="n">
        <v>46293</v>
      </c>
      <c r="C59" s="19" t="s">
        <v>33</v>
      </c>
      <c r="D59" s="17" t="s">
        <v>39</v>
      </c>
    </row>
    <row r="60" customFormat="false" ht="15" hidden="false" customHeight="false" outlineLevel="0" collapsed="false">
      <c r="A60" s="16" t="s">
        <v>97</v>
      </c>
      <c r="B60" s="18" t="n">
        <v>46294</v>
      </c>
      <c r="C60" s="19" t="s">
        <v>29</v>
      </c>
      <c r="D60" s="17" t="s">
        <v>39</v>
      </c>
    </row>
    <row r="61" customFormat="false" ht="15" hidden="false" customHeight="false" outlineLevel="0" collapsed="false">
      <c r="A61" s="16" t="s">
        <v>98</v>
      </c>
      <c r="B61" s="18" t="n">
        <v>46295</v>
      </c>
      <c r="C61" s="19" t="s">
        <v>27</v>
      </c>
      <c r="D61" s="17" t="s">
        <v>39</v>
      </c>
    </row>
    <row r="62" customFormat="false" ht="15" hidden="false" customHeight="false" outlineLevel="0" collapsed="false">
      <c r="A62" s="16" t="s">
        <v>99</v>
      </c>
      <c r="B62" s="18" t="n">
        <v>46266</v>
      </c>
      <c r="C62" s="19" t="s">
        <v>28</v>
      </c>
      <c r="D62" s="17" t="s">
        <v>39</v>
      </c>
    </row>
    <row r="63" customFormat="false" ht="15" hidden="false" customHeight="false" outlineLevel="0" collapsed="false">
      <c r="A63" s="16" t="s">
        <v>100</v>
      </c>
      <c r="B63" s="18" t="n">
        <v>46267</v>
      </c>
      <c r="C63" s="19" t="s">
        <v>27</v>
      </c>
      <c r="D63" s="17" t="s">
        <v>39</v>
      </c>
    </row>
    <row r="64" customFormat="false" ht="15" hidden="false" customHeight="false" outlineLevel="0" collapsed="false">
      <c r="A64" s="16" t="s">
        <v>101</v>
      </c>
      <c r="B64" s="18" t="n">
        <v>46268</v>
      </c>
      <c r="C64" s="19" t="s">
        <v>28</v>
      </c>
      <c r="D64" s="17" t="s">
        <v>39</v>
      </c>
    </row>
    <row r="65" customFormat="false" ht="15" hidden="false" customHeight="false" outlineLevel="0" collapsed="false">
      <c r="A65" s="16" t="s">
        <v>102</v>
      </c>
      <c r="B65" s="18" t="n">
        <v>46269</v>
      </c>
      <c r="C65" s="19" t="s">
        <v>27</v>
      </c>
      <c r="D65" s="17" t="s">
        <v>39</v>
      </c>
    </row>
    <row r="66" customFormat="false" ht="15" hidden="false" customHeight="false" outlineLevel="0" collapsed="false">
      <c r="A66" s="16" t="s">
        <v>103</v>
      </c>
      <c r="B66" s="18" t="n">
        <v>46270</v>
      </c>
      <c r="C66" s="19" t="s">
        <v>28</v>
      </c>
      <c r="D66" s="17" t="s">
        <v>39</v>
      </c>
    </row>
    <row r="67" customFormat="false" ht="15" hidden="false" customHeight="false" outlineLevel="0" collapsed="false">
      <c r="A67" s="16" t="s">
        <v>104</v>
      </c>
      <c r="B67" s="18" t="n">
        <v>46271</v>
      </c>
      <c r="C67" s="19" t="s">
        <v>27</v>
      </c>
      <c r="D67" s="17" t="s">
        <v>39</v>
      </c>
    </row>
    <row r="68" customFormat="false" ht="15" hidden="false" customHeight="false" outlineLevel="0" collapsed="false">
      <c r="A68" s="16" t="s">
        <v>105</v>
      </c>
      <c r="B68" s="18" t="n">
        <v>46272</v>
      </c>
      <c r="C68" s="19" t="s">
        <v>30</v>
      </c>
      <c r="D68" s="17" t="s">
        <v>39</v>
      </c>
    </row>
    <row r="69" customFormat="false" ht="15" hidden="false" customHeight="false" outlineLevel="0" collapsed="false">
      <c r="A69" s="16" t="s">
        <v>106</v>
      </c>
      <c r="B69" s="18" t="n">
        <v>46273</v>
      </c>
      <c r="C69" s="19" t="s">
        <v>28</v>
      </c>
      <c r="D69" s="17" t="s">
        <v>39</v>
      </c>
    </row>
    <row r="70" customFormat="false" ht="15" hidden="false" customHeight="false" outlineLevel="0" collapsed="false">
      <c r="A70" s="16" t="s">
        <v>107</v>
      </c>
      <c r="B70" s="18" t="n">
        <v>46274</v>
      </c>
      <c r="C70" s="19" t="s">
        <v>27</v>
      </c>
      <c r="D70" s="17" t="s">
        <v>39</v>
      </c>
    </row>
    <row r="71" customFormat="false" ht="15" hidden="false" customHeight="false" outlineLevel="0" collapsed="false">
      <c r="A71" s="16" t="s">
        <v>108</v>
      </c>
      <c r="B71" s="18" t="n">
        <v>46275</v>
      </c>
      <c r="C71" s="19" t="s">
        <v>29</v>
      </c>
      <c r="D71" s="17" t="s">
        <v>39</v>
      </c>
    </row>
    <row r="72" customFormat="false" ht="15" hidden="false" customHeight="false" outlineLevel="0" collapsed="false">
      <c r="A72" s="16" t="s">
        <v>109</v>
      </c>
      <c r="B72" s="18" t="n">
        <v>46276</v>
      </c>
      <c r="C72" s="19" t="s">
        <v>29</v>
      </c>
      <c r="D72" s="17" t="s">
        <v>39</v>
      </c>
    </row>
    <row r="73" customFormat="false" ht="15" hidden="false" customHeight="false" outlineLevel="0" collapsed="false">
      <c r="A73" s="16" t="s">
        <v>110</v>
      </c>
      <c r="B73" s="18" t="n">
        <v>46277</v>
      </c>
      <c r="C73" s="19" t="s">
        <v>27</v>
      </c>
      <c r="D73" s="17" t="s">
        <v>39</v>
      </c>
    </row>
    <row r="74" customFormat="false" ht="15" hidden="false" customHeight="false" outlineLevel="0" collapsed="false">
      <c r="A74" s="16" t="s">
        <v>111</v>
      </c>
      <c r="B74" s="18" t="n">
        <v>46278</v>
      </c>
      <c r="C74" s="19" t="s">
        <v>33</v>
      </c>
      <c r="D74" s="17" t="s">
        <v>39</v>
      </c>
    </row>
    <row r="75" customFormat="false" ht="15" hidden="false" customHeight="false" outlineLevel="0" collapsed="false">
      <c r="A75" s="16" t="s">
        <v>112</v>
      </c>
      <c r="B75" s="18" t="n">
        <v>46279</v>
      </c>
      <c r="C75" s="19" t="s">
        <v>27</v>
      </c>
      <c r="D75" s="17" t="s">
        <v>39</v>
      </c>
    </row>
    <row r="76" customFormat="false" ht="15" hidden="false" customHeight="false" outlineLevel="0" collapsed="false">
      <c r="A76" s="16" t="s">
        <v>113</v>
      </c>
      <c r="B76" s="18" t="n">
        <v>46280</v>
      </c>
      <c r="C76" s="19" t="s">
        <v>28</v>
      </c>
      <c r="D76" s="17" t="s">
        <v>39</v>
      </c>
    </row>
    <row r="77" customFormat="false" ht="15" hidden="false" customHeight="false" outlineLevel="0" collapsed="false">
      <c r="A77" s="16" t="s">
        <v>114</v>
      </c>
      <c r="B77" s="18" t="n">
        <v>46281</v>
      </c>
      <c r="C77" s="19" t="s">
        <v>29</v>
      </c>
      <c r="D77" s="17" t="s">
        <v>39</v>
      </c>
    </row>
    <row r="78" customFormat="false" ht="15" hidden="false" customHeight="false" outlineLevel="0" collapsed="false">
      <c r="A78" s="16" t="s">
        <v>115</v>
      </c>
      <c r="B78" s="18" t="n">
        <v>46282</v>
      </c>
      <c r="C78" s="19" t="s">
        <v>28</v>
      </c>
      <c r="D78" s="17" t="s">
        <v>39</v>
      </c>
    </row>
    <row r="79" customFormat="false" ht="15" hidden="false" customHeight="false" outlineLevel="0" collapsed="false">
      <c r="A79" s="16" t="s">
        <v>116</v>
      </c>
      <c r="B79" s="18" t="n">
        <v>46283</v>
      </c>
      <c r="C79" s="19" t="s">
        <v>27</v>
      </c>
      <c r="D79" s="17" t="s">
        <v>39</v>
      </c>
    </row>
    <row r="80" customFormat="false" ht="15" hidden="false" customHeight="false" outlineLevel="0" collapsed="false">
      <c r="A80" s="16" t="s">
        <v>117</v>
      </c>
      <c r="B80" s="18" t="n">
        <v>46284</v>
      </c>
      <c r="C80" s="19" t="s">
        <v>31</v>
      </c>
      <c r="D80" s="17" t="s">
        <v>39</v>
      </c>
    </row>
    <row r="81" customFormat="false" ht="15" hidden="false" customHeight="false" outlineLevel="0" collapsed="false">
      <c r="A81" s="16" t="s">
        <v>118</v>
      </c>
      <c r="B81" s="18" t="n">
        <v>46285</v>
      </c>
      <c r="C81" s="19" t="s">
        <v>28</v>
      </c>
      <c r="D81" s="17" t="s">
        <v>39</v>
      </c>
    </row>
    <row r="82" customFormat="false" ht="15" hidden="false" customHeight="false" outlineLevel="0" collapsed="false">
      <c r="A82" s="16" t="s">
        <v>119</v>
      </c>
      <c r="B82" s="18" t="n">
        <v>46286</v>
      </c>
      <c r="C82" s="19" t="s">
        <v>28</v>
      </c>
      <c r="D82" s="17" t="s">
        <v>39</v>
      </c>
    </row>
    <row r="83" customFormat="false" ht="15" hidden="false" customHeight="false" outlineLevel="0" collapsed="false">
      <c r="A83" s="16" t="s">
        <v>120</v>
      </c>
      <c r="B83" s="18" t="n">
        <v>46287</v>
      </c>
      <c r="C83" s="19" t="s">
        <v>27</v>
      </c>
      <c r="D83" s="17" t="s">
        <v>39</v>
      </c>
    </row>
    <row r="84" customFormat="false" ht="15" hidden="false" customHeight="false" outlineLevel="0" collapsed="false">
      <c r="A84" s="16" t="s">
        <v>121</v>
      </c>
      <c r="B84" s="18" t="n">
        <v>46288</v>
      </c>
      <c r="C84" s="19" t="s">
        <v>28</v>
      </c>
      <c r="D84" s="17" t="s">
        <v>39</v>
      </c>
    </row>
    <row r="85" customFormat="false" ht="15" hidden="false" customHeight="false" outlineLevel="0" collapsed="false">
      <c r="A85" s="16" t="s">
        <v>122</v>
      </c>
      <c r="B85" s="18" t="n">
        <v>46289</v>
      </c>
      <c r="C85" s="19" t="s">
        <v>30</v>
      </c>
      <c r="D85" s="17" t="s">
        <v>39</v>
      </c>
    </row>
    <row r="86" customFormat="false" ht="15" hidden="false" customHeight="false" outlineLevel="0" collapsed="false">
      <c r="A86" s="16" t="s">
        <v>123</v>
      </c>
      <c r="B86" s="18" t="n">
        <v>46290</v>
      </c>
      <c r="C86" s="19" t="s">
        <v>30</v>
      </c>
      <c r="D86" s="17" t="s">
        <v>39</v>
      </c>
    </row>
    <row r="87" customFormat="false" ht="15" hidden="false" customHeight="false" outlineLevel="0" collapsed="false">
      <c r="A87" s="16" t="s">
        <v>124</v>
      </c>
      <c r="B87" s="18" t="n">
        <v>46291</v>
      </c>
      <c r="C87" s="19" t="s">
        <v>31</v>
      </c>
      <c r="D87" s="17" t="s">
        <v>39</v>
      </c>
    </row>
    <row r="88" customFormat="false" ht="15" hidden="false" customHeight="false" outlineLevel="0" collapsed="false">
      <c r="A88" s="16" t="s">
        <v>125</v>
      </c>
      <c r="B88" s="18" t="n">
        <v>46292</v>
      </c>
      <c r="C88" s="19" t="s">
        <v>31</v>
      </c>
      <c r="D88" s="17" t="s">
        <v>39</v>
      </c>
    </row>
    <row r="89" customFormat="false" ht="15" hidden="false" customHeight="false" outlineLevel="0" collapsed="false">
      <c r="A89" s="16" t="s">
        <v>126</v>
      </c>
      <c r="B89" s="18" t="n">
        <v>46293</v>
      </c>
      <c r="C89" s="19" t="s">
        <v>33</v>
      </c>
      <c r="D89" s="17" t="s">
        <v>39</v>
      </c>
    </row>
    <row r="90" customFormat="false" ht="15" hidden="false" customHeight="false" outlineLevel="0" collapsed="false">
      <c r="A90" s="16" t="s">
        <v>127</v>
      </c>
      <c r="B90" s="18" t="n">
        <v>46294</v>
      </c>
      <c r="C90" s="19" t="s">
        <v>27</v>
      </c>
      <c r="D90" s="17" t="s">
        <v>39</v>
      </c>
    </row>
    <row r="91" customFormat="false" ht="15" hidden="false" customHeight="false" outlineLevel="0" collapsed="false">
      <c r="A91" s="16" t="s">
        <v>128</v>
      </c>
      <c r="B91" s="18" t="n">
        <v>46295</v>
      </c>
      <c r="C91" s="19" t="s">
        <v>33</v>
      </c>
      <c r="D91" s="17" t="s">
        <v>39</v>
      </c>
    </row>
    <row r="92" customFormat="false" ht="15" hidden="false" customHeight="false" outlineLevel="0" collapsed="false">
      <c r="A92" s="16" t="s">
        <v>129</v>
      </c>
      <c r="B92" s="18" t="n">
        <v>46266</v>
      </c>
      <c r="C92" s="19" t="s">
        <v>28</v>
      </c>
      <c r="D92" s="17" t="s">
        <v>39</v>
      </c>
    </row>
    <row r="93" customFormat="false" ht="15" hidden="false" customHeight="false" outlineLevel="0" collapsed="false">
      <c r="A93" s="16" t="s">
        <v>130</v>
      </c>
      <c r="B93" s="18" t="n">
        <v>46267</v>
      </c>
      <c r="C93" s="19" t="s">
        <v>29</v>
      </c>
      <c r="D93" s="17" t="s">
        <v>39</v>
      </c>
    </row>
    <row r="94" customFormat="false" ht="15" hidden="false" customHeight="false" outlineLevel="0" collapsed="false">
      <c r="A94" s="16" t="s">
        <v>131</v>
      </c>
      <c r="B94" s="18" t="n">
        <v>46268</v>
      </c>
      <c r="C94" s="19" t="s">
        <v>29</v>
      </c>
      <c r="D94" s="17" t="s">
        <v>39</v>
      </c>
    </row>
    <row r="95" customFormat="false" ht="15" hidden="false" customHeight="false" outlineLevel="0" collapsed="false">
      <c r="A95" s="16" t="s">
        <v>132</v>
      </c>
      <c r="B95" s="18" t="n">
        <v>46269</v>
      </c>
      <c r="C95" s="19" t="s">
        <v>27</v>
      </c>
      <c r="D95" s="17" t="s">
        <v>39</v>
      </c>
    </row>
    <row r="96" customFormat="false" ht="15" hidden="false" customHeight="false" outlineLevel="0" collapsed="false">
      <c r="A96" s="16" t="s">
        <v>133</v>
      </c>
      <c r="B96" s="18" t="n">
        <v>46270</v>
      </c>
      <c r="C96" s="19" t="s">
        <v>27</v>
      </c>
      <c r="D96" s="17" t="s">
        <v>39</v>
      </c>
    </row>
    <row r="97" customFormat="false" ht="15" hidden="false" customHeight="false" outlineLevel="0" collapsed="false">
      <c r="A97" s="16" t="s">
        <v>134</v>
      </c>
      <c r="B97" s="18" t="n">
        <v>46271</v>
      </c>
      <c r="C97" s="19" t="s">
        <v>28</v>
      </c>
      <c r="D97" s="17" t="s">
        <v>39</v>
      </c>
    </row>
    <row r="98" customFormat="false" ht="15" hidden="false" customHeight="false" outlineLevel="0" collapsed="false">
      <c r="A98" s="16" t="s">
        <v>135</v>
      </c>
      <c r="B98" s="18" t="n">
        <v>46272</v>
      </c>
      <c r="C98" s="19" t="s">
        <v>30</v>
      </c>
      <c r="D98" s="17" t="s">
        <v>39</v>
      </c>
    </row>
    <row r="99" customFormat="false" ht="15" hidden="false" customHeight="false" outlineLevel="0" collapsed="false">
      <c r="A99" s="16" t="s">
        <v>136</v>
      </c>
      <c r="B99" s="18" t="n">
        <v>46273</v>
      </c>
      <c r="C99" s="19" t="s">
        <v>27</v>
      </c>
      <c r="D99" s="17" t="s">
        <v>39</v>
      </c>
    </row>
    <row r="100" customFormat="false" ht="15" hidden="false" customHeight="false" outlineLevel="0" collapsed="false">
      <c r="A100" s="16" t="s">
        <v>137</v>
      </c>
      <c r="B100" s="18" t="n">
        <v>46274</v>
      </c>
      <c r="C100" s="19" t="s">
        <v>31</v>
      </c>
      <c r="D100" s="17" t="s">
        <v>39</v>
      </c>
    </row>
    <row r="101" customFormat="false" ht="15" hidden="false" customHeight="false" outlineLevel="0" collapsed="false">
      <c r="A101" s="16" t="s">
        <v>138</v>
      </c>
      <c r="B101" s="18" t="n">
        <v>46275</v>
      </c>
      <c r="C101" s="19" t="s">
        <v>30</v>
      </c>
      <c r="D101" s="17" t="s">
        <v>39</v>
      </c>
    </row>
    <row r="102" customFormat="false" ht="15" hidden="false" customHeight="false" outlineLevel="0" collapsed="false">
      <c r="A102" s="16" t="s">
        <v>139</v>
      </c>
      <c r="B102" s="18" t="n">
        <v>46276</v>
      </c>
      <c r="C102" s="19" t="s">
        <v>28</v>
      </c>
      <c r="D102" s="17" t="s">
        <v>39</v>
      </c>
    </row>
    <row r="103" customFormat="false" ht="15" hidden="false" customHeight="false" outlineLevel="0" collapsed="false">
      <c r="A103" s="16" t="s">
        <v>140</v>
      </c>
      <c r="B103" s="18" t="n">
        <v>46277</v>
      </c>
      <c r="C103" s="19" t="s">
        <v>33</v>
      </c>
      <c r="D103" s="17" t="s">
        <v>39</v>
      </c>
    </row>
    <row r="104" customFormat="false" ht="15" hidden="false" customHeight="false" outlineLevel="0" collapsed="false">
      <c r="A104" s="16" t="s">
        <v>141</v>
      </c>
      <c r="B104" s="18" t="n">
        <v>46278</v>
      </c>
      <c r="C104" s="19" t="s">
        <v>31</v>
      </c>
      <c r="D104" s="17" t="s">
        <v>39</v>
      </c>
    </row>
    <row r="105" customFormat="false" ht="15" hidden="false" customHeight="false" outlineLevel="0" collapsed="false">
      <c r="A105" s="16" t="s">
        <v>142</v>
      </c>
      <c r="B105" s="18" t="n">
        <v>46279</v>
      </c>
      <c r="C105" s="19" t="s">
        <v>27</v>
      </c>
      <c r="D105" s="17" t="s">
        <v>39</v>
      </c>
    </row>
    <row r="106" customFormat="false" ht="15" hidden="false" customHeight="false" outlineLevel="0" collapsed="false">
      <c r="A106" s="16" t="s">
        <v>143</v>
      </c>
      <c r="B106" s="18" t="n">
        <v>46280</v>
      </c>
      <c r="C106" s="19" t="s">
        <v>27</v>
      </c>
      <c r="D106" s="17" t="s">
        <v>39</v>
      </c>
    </row>
    <row r="107" customFormat="false" ht="15" hidden="false" customHeight="false" outlineLevel="0" collapsed="false">
      <c r="A107" s="16" t="s">
        <v>144</v>
      </c>
      <c r="B107" s="18" t="n">
        <v>46281</v>
      </c>
      <c r="C107" s="19" t="s">
        <v>28</v>
      </c>
      <c r="D107" s="17" t="s">
        <v>39</v>
      </c>
    </row>
    <row r="108" customFormat="false" ht="15" hidden="false" customHeight="false" outlineLevel="0" collapsed="false">
      <c r="A108" s="16" t="s">
        <v>145</v>
      </c>
      <c r="B108" s="18" t="n">
        <v>46282</v>
      </c>
      <c r="C108" s="19" t="s">
        <v>27</v>
      </c>
      <c r="D108" s="17" t="s">
        <v>39</v>
      </c>
    </row>
    <row r="109" customFormat="false" ht="15" hidden="false" customHeight="false" outlineLevel="0" collapsed="false">
      <c r="A109" s="16" t="s">
        <v>146</v>
      </c>
      <c r="B109" s="18" t="n">
        <v>46283</v>
      </c>
      <c r="C109" s="19" t="s">
        <v>30</v>
      </c>
      <c r="D109" s="17" t="s">
        <v>39</v>
      </c>
    </row>
    <row r="110" customFormat="false" ht="15" hidden="false" customHeight="false" outlineLevel="0" collapsed="false">
      <c r="A110" s="16" t="s">
        <v>147</v>
      </c>
      <c r="B110" s="18" t="n">
        <v>46284</v>
      </c>
      <c r="C110" s="19" t="s">
        <v>27</v>
      </c>
      <c r="D110" s="17" t="s">
        <v>39</v>
      </c>
    </row>
    <row r="111" customFormat="false" ht="15" hidden="false" customHeight="false" outlineLevel="0" collapsed="false">
      <c r="A111" s="16" t="s">
        <v>148</v>
      </c>
      <c r="B111" s="18" t="n">
        <v>46285</v>
      </c>
      <c r="C111" s="19" t="s">
        <v>27</v>
      </c>
      <c r="D111" s="17" t="s">
        <v>39</v>
      </c>
    </row>
    <row r="112" customFormat="false" ht="15" hidden="false" customHeight="false" outlineLevel="0" collapsed="false">
      <c r="A112" s="16" t="s">
        <v>149</v>
      </c>
      <c r="B112" s="18" t="n">
        <v>46286</v>
      </c>
      <c r="C112" s="19" t="s">
        <v>30</v>
      </c>
      <c r="D112" s="17" t="s">
        <v>39</v>
      </c>
    </row>
    <row r="113" customFormat="false" ht="15" hidden="false" customHeight="false" outlineLevel="0" collapsed="false">
      <c r="A113" s="16" t="s">
        <v>150</v>
      </c>
      <c r="B113" s="18" t="n">
        <v>46287</v>
      </c>
      <c r="C113" s="19" t="s">
        <v>28</v>
      </c>
      <c r="D113" s="17" t="s">
        <v>39</v>
      </c>
    </row>
    <row r="114" customFormat="false" ht="15" hidden="false" customHeight="false" outlineLevel="0" collapsed="false">
      <c r="A114" s="16" t="s">
        <v>151</v>
      </c>
      <c r="B114" s="18" t="n">
        <v>46288</v>
      </c>
      <c r="C114" s="19" t="s">
        <v>30</v>
      </c>
      <c r="D114" s="17" t="s">
        <v>39</v>
      </c>
    </row>
    <row r="115" customFormat="false" ht="15" hidden="false" customHeight="false" outlineLevel="0" collapsed="false">
      <c r="A115" s="16" t="s">
        <v>152</v>
      </c>
      <c r="B115" s="18" t="n">
        <v>46289</v>
      </c>
      <c r="C115" s="19" t="s">
        <v>28</v>
      </c>
      <c r="D115" s="17" t="s">
        <v>39</v>
      </c>
    </row>
    <row r="116" customFormat="false" ht="15" hidden="false" customHeight="false" outlineLevel="0" collapsed="false">
      <c r="A116" s="16" t="s">
        <v>153</v>
      </c>
      <c r="B116" s="18" t="n">
        <v>46290</v>
      </c>
      <c r="C116" s="19" t="s">
        <v>30</v>
      </c>
      <c r="D116" s="17" t="s">
        <v>39</v>
      </c>
    </row>
    <row r="117" customFormat="false" ht="15" hidden="false" customHeight="false" outlineLevel="0" collapsed="false">
      <c r="A117" s="16" t="s">
        <v>154</v>
      </c>
      <c r="B117" s="18" t="n">
        <v>46291</v>
      </c>
      <c r="C117" s="19" t="s">
        <v>28</v>
      </c>
      <c r="D117" s="17" t="s">
        <v>39</v>
      </c>
    </row>
    <row r="118" customFormat="false" ht="15" hidden="false" customHeight="false" outlineLevel="0" collapsed="false">
      <c r="A118" s="16" t="s">
        <v>155</v>
      </c>
      <c r="B118" s="18" t="n">
        <v>46292</v>
      </c>
      <c r="C118" s="19" t="s">
        <v>27</v>
      </c>
      <c r="D118" s="17" t="s">
        <v>39</v>
      </c>
    </row>
    <row r="119" customFormat="false" ht="15" hidden="false" customHeight="false" outlineLevel="0" collapsed="false">
      <c r="A119" s="16" t="s">
        <v>156</v>
      </c>
      <c r="B119" s="18" t="n">
        <v>46293</v>
      </c>
      <c r="C119" s="19" t="s">
        <v>27</v>
      </c>
      <c r="D119" s="17" t="s">
        <v>39</v>
      </c>
    </row>
    <row r="120" customFormat="false" ht="15" hidden="false" customHeight="false" outlineLevel="0" collapsed="false">
      <c r="A120" s="16" t="s">
        <v>157</v>
      </c>
      <c r="B120" s="18" t="n">
        <v>46294</v>
      </c>
      <c r="C120" s="19" t="s">
        <v>28</v>
      </c>
      <c r="D120" s="17" t="s">
        <v>39</v>
      </c>
    </row>
    <row r="121" customFormat="false" ht="15" hidden="false" customHeight="false" outlineLevel="0" collapsed="false">
      <c r="A121" s="16" t="s">
        <v>158</v>
      </c>
      <c r="B121" s="18" t="n">
        <v>46295</v>
      </c>
      <c r="C121" s="19" t="s">
        <v>29</v>
      </c>
      <c r="D121" s="17" t="s">
        <v>39</v>
      </c>
    </row>
    <row r="122" customFormat="false" ht="15" hidden="false" customHeight="false" outlineLevel="0" collapsed="false">
      <c r="A122" s="16" t="s">
        <v>159</v>
      </c>
      <c r="B122" s="18" t="n">
        <v>46266</v>
      </c>
      <c r="C122" s="19" t="s">
        <v>27</v>
      </c>
      <c r="D122" s="17" t="s">
        <v>39</v>
      </c>
    </row>
    <row r="123" customFormat="false" ht="15" hidden="false" customHeight="false" outlineLevel="0" collapsed="false">
      <c r="A123" s="16" t="s">
        <v>160</v>
      </c>
      <c r="B123" s="18" t="n">
        <v>46267</v>
      </c>
      <c r="C123" s="19" t="s">
        <v>32</v>
      </c>
      <c r="D123" s="17" t="s">
        <v>39</v>
      </c>
    </row>
    <row r="124" customFormat="false" ht="15" hidden="false" customHeight="false" outlineLevel="0" collapsed="false">
      <c r="A124" s="16" t="s">
        <v>161</v>
      </c>
      <c r="B124" s="18" t="n">
        <v>46268</v>
      </c>
      <c r="C124" s="19" t="s">
        <v>28</v>
      </c>
      <c r="D124" s="17" t="s">
        <v>39</v>
      </c>
    </row>
    <row r="125" customFormat="false" ht="15" hidden="false" customHeight="false" outlineLevel="0" collapsed="false">
      <c r="A125" s="16" t="s">
        <v>162</v>
      </c>
      <c r="B125" s="18" t="n">
        <v>46269</v>
      </c>
      <c r="C125" s="19" t="s">
        <v>27</v>
      </c>
      <c r="D125" s="17" t="s">
        <v>39</v>
      </c>
    </row>
    <row r="126" customFormat="false" ht="15" hidden="false" customHeight="false" outlineLevel="0" collapsed="false">
      <c r="A126" s="16" t="s">
        <v>163</v>
      </c>
      <c r="B126" s="18" t="n">
        <v>46270</v>
      </c>
      <c r="C126" s="19" t="s">
        <v>27</v>
      </c>
      <c r="D126" s="17" t="s">
        <v>39</v>
      </c>
    </row>
    <row r="127" customFormat="false" ht="15" hidden="false" customHeight="false" outlineLevel="0" collapsed="false">
      <c r="A127" s="16" t="s">
        <v>164</v>
      </c>
      <c r="B127" s="18" t="n">
        <v>46271</v>
      </c>
      <c r="C127" s="19" t="s">
        <v>27</v>
      </c>
      <c r="D127" s="17" t="s">
        <v>39</v>
      </c>
    </row>
    <row r="128" customFormat="false" ht="15" hidden="false" customHeight="false" outlineLevel="0" collapsed="false">
      <c r="A128" s="16" t="s">
        <v>165</v>
      </c>
      <c r="B128" s="18" t="n">
        <v>46272</v>
      </c>
      <c r="C128" s="19" t="s">
        <v>28</v>
      </c>
      <c r="D128" s="17" t="s">
        <v>39</v>
      </c>
    </row>
    <row r="129" customFormat="false" ht="15" hidden="false" customHeight="false" outlineLevel="0" collapsed="false">
      <c r="A129" s="16" t="s">
        <v>166</v>
      </c>
      <c r="B129" s="18" t="n">
        <v>46273</v>
      </c>
      <c r="C129" s="19" t="s">
        <v>29</v>
      </c>
      <c r="D129" s="17" t="s">
        <v>39</v>
      </c>
    </row>
    <row r="130" customFormat="false" ht="15" hidden="false" customHeight="false" outlineLevel="0" collapsed="false">
      <c r="A130" s="16" t="s">
        <v>167</v>
      </c>
      <c r="B130" s="18" t="n">
        <v>46274</v>
      </c>
      <c r="C130" s="19" t="s">
        <v>27</v>
      </c>
      <c r="D130" s="17" t="s">
        <v>39</v>
      </c>
    </row>
    <row r="131" customFormat="false" ht="15" hidden="false" customHeight="false" outlineLevel="0" collapsed="false">
      <c r="A131" s="16" t="s">
        <v>168</v>
      </c>
      <c r="B131" s="18" t="n">
        <v>46275</v>
      </c>
      <c r="C131" s="19" t="s">
        <v>27</v>
      </c>
      <c r="D131" s="17" t="s">
        <v>39</v>
      </c>
    </row>
    <row r="132" customFormat="false" ht="15" hidden="false" customHeight="false" outlineLevel="0" collapsed="false">
      <c r="A132" s="16" t="s">
        <v>169</v>
      </c>
      <c r="B132" s="18" t="n">
        <v>46276</v>
      </c>
      <c r="C132" s="19" t="s">
        <v>28</v>
      </c>
      <c r="D132" s="17" t="s">
        <v>39</v>
      </c>
    </row>
    <row r="133" customFormat="false" ht="15" hidden="false" customHeight="false" outlineLevel="0" collapsed="false">
      <c r="A133" s="16" t="s">
        <v>170</v>
      </c>
      <c r="B133" s="18" t="n">
        <v>46277</v>
      </c>
      <c r="C133" s="19" t="s">
        <v>32</v>
      </c>
      <c r="D133" s="17" t="s">
        <v>39</v>
      </c>
    </row>
    <row r="134" customFormat="false" ht="15" hidden="false" customHeight="false" outlineLevel="0" collapsed="false">
      <c r="A134" s="16" t="s">
        <v>171</v>
      </c>
      <c r="B134" s="18" t="n">
        <v>46278</v>
      </c>
      <c r="C134" s="19" t="s">
        <v>27</v>
      </c>
      <c r="D134" s="17" t="s">
        <v>39</v>
      </c>
    </row>
    <row r="135" customFormat="false" ht="15" hidden="false" customHeight="false" outlineLevel="0" collapsed="false">
      <c r="A135" s="16" t="s">
        <v>172</v>
      </c>
      <c r="B135" s="18" t="n">
        <v>46279</v>
      </c>
      <c r="C135" s="19" t="s">
        <v>29</v>
      </c>
      <c r="D135" s="17" t="s">
        <v>39</v>
      </c>
    </row>
    <row r="136" customFormat="false" ht="15" hidden="false" customHeight="false" outlineLevel="0" collapsed="false">
      <c r="A136" s="16" t="s">
        <v>173</v>
      </c>
      <c r="B136" s="18" t="n">
        <v>46280</v>
      </c>
      <c r="C136" s="19" t="s">
        <v>27</v>
      </c>
      <c r="D136" s="17" t="s">
        <v>39</v>
      </c>
    </row>
    <row r="137" customFormat="false" ht="15" hidden="false" customHeight="false" outlineLevel="0" collapsed="false">
      <c r="A137" s="16" t="s">
        <v>174</v>
      </c>
      <c r="B137" s="18" t="n">
        <v>46281</v>
      </c>
      <c r="C137" s="19" t="s">
        <v>27</v>
      </c>
      <c r="D137" s="17" t="s">
        <v>39</v>
      </c>
    </row>
    <row r="138" customFormat="false" ht="15" hidden="false" customHeight="false" outlineLevel="0" collapsed="false">
      <c r="A138" s="16" t="s">
        <v>175</v>
      </c>
      <c r="B138" s="18" t="n">
        <v>46282</v>
      </c>
      <c r="C138" s="19" t="s">
        <v>27</v>
      </c>
      <c r="D138" s="17" t="s">
        <v>39</v>
      </c>
    </row>
    <row r="139" customFormat="false" ht="15" hidden="false" customHeight="false" outlineLevel="0" collapsed="false">
      <c r="A139" s="16" t="s">
        <v>176</v>
      </c>
      <c r="B139" s="18" t="n">
        <v>46283</v>
      </c>
      <c r="C139" s="19" t="s">
        <v>29</v>
      </c>
      <c r="D139" s="17" t="s">
        <v>39</v>
      </c>
    </row>
    <row r="140" customFormat="false" ht="15" hidden="false" customHeight="false" outlineLevel="0" collapsed="false">
      <c r="A140" s="16" t="s">
        <v>177</v>
      </c>
      <c r="B140" s="18" t="n">
        <v>46284</v>
      </c>
      <c r="C140" s="19" t="s">
        <v>27</v>
      </c>
      <c r="D140" s="17" t="s">
        <v>39</v>
      </c>
    </row>
    <row r="141" customFormat="false" ht="15" hidden="false" customHeight="false" outlineLevel="0" collapsed="false">
      <c r="A141" s="16" t="s">
        <v>178</v>
      </c>
      <c r="B141" s="18" t="n">
        <v>46285</v>
      </c>
      <c r="C141" s="19" t="s">
        <v>28</v>
      </c>
      <c r="D141" s="17" t="s">
        <v>39</v>
      </c>
    </row>
  </sheetData>
  <dataValidations count="1">
    <dataValidation allowBlank="true" errorStyle="stop" operator="between" showDropDown="false" showErrorMessage="false" showInputMessage="false" sqref="C2:C1141" type="list">
      <formula1>Temas!$A$2:$A$21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2026-10-23T20:05:53Z</dcterms:created>
  <dc:creator>openpyxl</dc:creator>
  <dc:description/>
  <dc:language>en-US</dc:language>
  <cp:lastModifiedBy/>
  <dcterms:modified xsi:type="dcterms:W3CDTF">2026-10-23T17:05:55Z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